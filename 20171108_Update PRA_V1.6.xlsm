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FE02FS22.de.bosch.com\CMPE_Praktikanten$\Widmann\Tool_Optimization\001_In_Progress\Process Risk Assessment\"/>
    </mc:Choice>
  </mc:AlternateContent>
  <bookViews>
    <workbookView xWindow="0" yWindow="0" windowWidth="24000" windowHeight="10680" firstSheet="1" activeTab="3"/>
  </bookViews>
  <sheets>
    <sheet name="Sprachetabelle" sheetId="6" state="hidden" r:id="rId1"/>
    <sheet name="Overview" sheetId="8" r:id="rId2"/>
    <sheet name="Anleitung_Instruction" sheetId="5" r:id="rId3"/>
    <sheet name="Process evaluation sheet" sheetId="1" r:id="rId4"/>
    <sheet name="risk diagram" sheetId="3" r:id="rId5"/>
    <sheet name="change log" sheetId="7" r:id="rId6"/>
  </sheets>
  <functionGroups builtInGroupCount="18"/>
  <definedNames>
    <definedName name="Amount_Processes">'Process evaluation sheet'!$G$1</definedName>
    <definedName name="ChooseLogo">Overview!$M$31</definedName>
    <definedName name="cLanguage" localSheetId="1">Overview!$G$13</definedName>
    <definedName name="cLanguage">Anleitung_Instruction!$B$1</definedName>
    <definedName name="cProject">Overview!$E$12</definedName>
    <definedName name="refDateLastUpdateOn">Overview!$N$34</definedName>
    <definedName name="reflastupdatedon">Overview!$N$34</definedName>
    <definedName name="refLastUser">Overview!$N$33</definedName>
  </definedNames>
  <calcPr calcId="162913"/>
  <fileRecoveryPr repairLoad="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34" i="1" l="1"/>
  <c r="C33" i="1"/>
  <c r="AR30" i="1"/>
  <c r="AR29" i="1"/>
  <c r="AR28" i="1"/>
  <c r="AR16" i="1"/>
  <c r="AR15" i="1"/>
  <c r="AR14" i="1"/>
  <c r="AR13" i="1"/>
  <c r="AR12" i="1"/>
  <c r="AR11" i="1"/>
  <c r="AR10" i="1"/>
  <c r="AR9" i="1"/>
  <c r="AQ30" i="1"/>
  <c r="AQ28" i="1"/>
  <c r="AQ16" i="1"/>
  <c r="AQ15" i="1"/>
  <c r="AQ14" i="1"/>
  <c r="AQ13" i="1"/>
  <c r="AQ12" i="1"/>
  <c r="AQ11" i="1"/>
  <c r="AQ10" i="1"/>
  <c r="AQ9" i="1"/>
  <c r="AP30" i="1"/>
  <c r="AP29" i="1"/>
  <c r="AP28" i="1"/>
  <c r="AP16" i="1"/>
  <c r="AP15" i="1"/>
  <c r="AP14" i="1"/>
  <c r="AP13" i="1"/>
  <c r="AP12" i="1"/>
  <c r="AP11" i="1"/>
  <c r="AP10" i="1"/>
  <c r="AP9" i="1"/>
  <c r="AO30" i="1"/>
  <c r="AO29" i="1"/>
  <c r="AO28" i="1"/>
  <c r="AO16" i="1"/>
  <c r="AO15" i="1"/>
  <c r="AO14" i="1"/>
  <c r="AO13" i="1"/>
  <c r="AO12" i="1"/>
  <c r="AO11" i="1"/>
  <c r="AO10" i="1"/>
  <c r="AO9" i="1"/>
  <c r="AN30" i="1"/>
  <c r="AN29" i="1"/>
  <c r="AN28" i="1"/>
  <c r="AN16" i="1"/>
  <c r="AN15" i="1"/>
  <c r="AN14" i="1"/>
  <c r="AN13" i="1"/>
  <c r="AN12" i="1"/>
  <c r="AN11" i="1"/>
  <c r="AN10" i="1"/>
  <c r="AN9" i="1"/>
  <c r="AM30" i="1"/>
  <c r="AM29" i="1"/>
  <c r="AM28" i="1"/>
  <c r="AM16" i="1"/>
  <c r="AM15" i="1"/>
  <c r="AM14" i="1"/>
  <c r="AM13" i="1"/>
  <c r="AM12" i="1"/>
  <c r="AM11" i="1"/>
  <c r="AM10" i="1"/>
  <c r="AM9" i="1"/>
  <c r="AL30" i="1"/>
  <c r="AL29" i="1"/>
  <c r="AL28" i="1"/>
  <c r="AL16" i="1"/>
  <c r="AL15" i="1"/>
  <c r="AL14" i="1"/>
  <c r="AL13" i="1"/>
  <c r="AL12" i="1"/>
  <c r="AL11" i="1"/>
  <c r="AL10" i="1"/>
  <c r="AL9" i="1"/>
  <c r="AK30" i="1"/>
  <c r="AK29" i="1"/>
  <c r="AK28" i="1"/>
  <c r="AK16" i="1"/>
  <c r="AK15" i="1"/>
  <c r="AK14" i="1"/>
  <c r="AK13" i="1"/>
  <c r="AK12" i="1"/>
  <c r="AK11" i="1"/>
  <c r="AK10" i="1"/>
  <c r="AK9" i="1"/>
  <c r="AJ30" i="1"/>
  <c r="AJ29" i="1"/>
  <c r="AJ28" i="1"/>
  <c r="AJ16" i="1"/>
  <c r="AJ15" i="1"/>
  <c r="AJ14" i="1"/>
  <c r="AJ13" i="1"/>
  <c r="AJ12" i="1"/>
  <c r="AJ11" i="1"/>
  <c r="AJ10" i="1"/>
  <c r="AJ9" i="1"/>
  <c r="AI30" i="1"/>
  <c r="AI29" i="1"/>
  <c r="AI28" i="1"/>
  <c r="AI16" i="1"/>
  <c r="AI15" i="1"/>
  <c r="AI14" i="1"/>
  <c r="AI13" i="1"/>
  <c r="AI12" i="1"/>
  <c r="AI11" i="1"/>
  <c r="AI10" i="1"/>
  <c r="AI9" i="1"/>
  <c r="AH30" i="1"/>
  <c r="AH29" i="1"/>
  <c r="AH28" i="1"/>
  <c r="AH16" i="1"/>
  <c r="AH15" i="1"/>
  <c r="AH14" i="1"/>
  <c r="AH13" i="1"/>
  <c r="AH12" i="1"/>
  <c r="AH11" i="1"/>
  <c r="AH10" i="1"/>
  <c r="AH9" i="1"/>
  <c r="AG30" i="1"/>
  <c r="AG29" i="1"/>
  <c r="AG28" i="1"/>
  <c r="AG16" i="1"/>
  <c r="AG15" i="1"/>
  <c r="AG14" i="1"/>
  <c r="AG13" i="1"/>
  <c r="AG12" i="1"/>
  <c r="AG11" i="1"/>
  <c r="AG10" i="1"/>
  <c r="AG9" i="1"/>
  <c r="AF30" i="1"/>
  <c r="AF29" i="1"/>
  <c r="AF28" i="1"/>
  <c r="AF16" i="1"/>
  <c r="AF15" i="1"/>
  <c r="AF14" i="1"/>
  <c r="AF13" i="1"/>
  <c r="AF12" i="1"/>
  <c r="AF11" i="1"/>
  <c r="AF10" i="1"/>
  <c r="AF9" i="1"/>
  <c r="AE30" i="1"/>
  <c r="AE29" i="1"/>
  <c r="AE28" i="1"/>
  <c r="AE16" i="1"/>
  <c r="AE15" i="1"/>
  <c r="AE14" i="1"/>
  <c r="AE13" i="1"/>
  <c r="AE12" i="1"/>
  <c r="AE11" i="1"/>
  <c r="AE10" i="1"/>
  <c r="AE9" i="1"/>
  <c r="AD30" i="1"/>
  <c r="AD29" i="1"/>
  <c r="AD28" i="1"/>
  <c r="AD16" i="1"/>
  <c r="AD15" i="1"/>
  <c r="AD14" i="1"/>
  <c r="AD13" i="1"/>
  <c r="AD12" i="1"/>
  <c r="AD11" i="1"/>
  <c r="AD10" i="1"/>
  <c r="AD9" i="1"/>
  <c r="AC30" i="1"/>
  <c r="AC29" i="1"/>
  <c r="AC28" i="1"/>
  <c r="AC16" i="1"/>
  <c r="AC15" i="1"/>
  <c r="AC14" i="1"/>
  <c r="AC13" i="1"/>
  <c r="AC12" i="1"/>
  <c r="AC11" i="1"/>
  <c r="AC10" i="1"/>
  <c r="AC9" i="1"/>
  <c r="AB30" i="1"/>
  <c r="AB29" i="1"/>
  <c r="AB28" i="1"/>
  <c r="AB16" i="1"/>
  <c r="AB15" i="1"/>
  <c r="AB14" i="1"/>
  <c r="AB13" i="1"/>
  <c r="AB12" i="1"/>
  <c r="AB11" i="1"/>
  <c r="AB10" i="1"/>
  <c r="AB9" i="1"/>
  <c r="AA30" i="1"/>
  <c r="AA29" i="1"/>
  <c r="AA28" i="1"/>
  <c r="AA16" i="1"/>
  <c r="AA15" i="1"/>
  <c r="AA14" i="1"/>
  <c r="AA13" i="1"/>
  <c r="AA12" i="1"/>
  <c r="AA11" i="1"/>
  <c r="AA10" i="1"/>
  <c r="AA9" i="1"/>
  <c r="Z30" i="1"/>
  <c r="Z29" i="1"/>
  <c r="Z28" i="1"/>
  <c r="Z16" i="1"/>
  <c r="Z15" i="1"/>
  <c r="Z14" i="1"/>
  <c r="Z13" i="1"/>
  <c r="Z12" i="1"/>
  <c r="Z11" i="1"/>
  <c r="Z10" i="1"/>
  <c r="Z9" i="1"/>
  <c r="Y30" i="1"/>
  <c r="Y29" i="1"/>
  <c r="Y28" i="1"/>
  <c r="Y16" i="1"/>
  <c r="Y15" i="1"/>
  <c r="Y14" i="1"/>
  <c r="Y13" i="1"/>
  <c r="Y12" i="1"/>
  <c r="Y11" i="1"/>
  <c r="Y10" i="1"/>
  <c r="Y9" i="1"/>
  <c r="X30" i="1"/>
  <c r="X29" i="1"/>
  <c r="X28" i="1"/>
  <c r="X16" i="1"/>
  <c r="X15" i="1"/>
  <c r="X14" i="1"/>
  <c r="X13" i="1"/>
  <c r="X12" i="1"/>
  <c r="X11" i="1"/>
  <c r="X10" i="1"/>
  <c r="X9" i="1"/>
  <c r="W30" i="1"/>
  <c r="W29" i="1"/>
  <c r="W28" i="1"/>
  <c r="W16" i="1"/>
  <c r="W15" i="1"/>
  <c r="W14" i="1"/>
  <c r="W13" i="1"/>
  <c r="W12" i="1"/>
  <c r="W11" i="1"/>
  <c r="W10" i="1"/>
  <c r="W9" i="1"/>
  <c r="V30" i="1"/>
  <c r="V29" i="1"/>
  <c r="V28" i="1"/>
  <c r="V16" i="1"/>
  <c r="V15" i="1"/>
  <c r="V14" i="1"/>
  <c r="V13" i="1"/>
  <c r="V12" i="1"/>
  <c r="V11" i="1"/>
  <c r="V10" i="1"/>
  <c r="V9" i="1"/>
  <c r="U30" i="1"/>
  <c r="U29" i="1"/>
  <c r="U28" i="1"/>
  <c r="U16" i="1"/>
  <c r="U15" i="1"/>
  <c r="U14" i="1"/>
  <c r="U13" i="1"/>
  <c r="U12" i="1"/>
  <c r="U11" i="1"/>
  <c r="U10" i="1"/>
  <c r="U9" i="1"/>
  <c r="T30" i="1"/>
  <c r="T29" i="1"/>
  <c r="T28" i="1"/>
  <c r="T16" i="1"/>
  <c r="T15" i="1"/>
  <c r="T14" i="1"/>
  <c r="T13" i="1"/>
  <c r="T12" i="1"/>
  <c r="T11" i="1"/>
  <c r="T10" i="1"/>
  <c r="T9" i="1"/>
  <c r="G9" i="1"/>
  <c r="H9" i="1"/>
  <c r="S30" i="1"/>
  <c r="S29" i="1"/>
  <c r="S28" i="1"/>
  <c r="S16" i="1"/>
  <c r="S15" i="1"/>
  <c r="S14" i="1"/>
  <c r="S13" i="1"/>
  <c r="S12" i="1"/>
  <c r="S11" i="1"/>
  <c r="S10" i="1"/>
  <c r="S9" i="1"/>
  <c r="R30" i="1"/>
  <c r="R29" i="1"/>
  <c r="R28" i="1"/>
  <c r="R16" i="1"/>
  <c r="R15" i="1"/>
  <c r="R14" i="1"/>
  <c r="R13" i="1"/>
  <c r="R12" i="1"/>
  <c r="R11" i="1"/>
  <c r="R10" i="1"/>
  <c r="R9" i="1"/>
  <c r="Q30" i="1"/>
  <c r="Q29" i="1"/>
  <c r="Q28" i="1"/>
  <c r="Q16" i="1"/>
  <c r="Q15" i="1"/>
  <c r="Q14" i="1"/>
  <c r="Q13" i="1"/>
  <c r="Q12" i="1"/>
  <c r="Q11" i="1"/>
  <c r="Q10" i="1"/>
  <c r="Q9" i="1"/>
  <c r="P30" i="1"/>
  <c r="P29" i="1"/>
  <c r="P28" i="1"/>
  <c r="P16" i="1"/>
  <c r="P15" i="1"/>
  <c r="P14" i="1"/>
  <c r="P13" i="1"/>
  <c r="P12" i="1"/>
  <c r="P11" i="1"/>
  <c r="P10" i="1"/>
  <c r="P9" i="1"/>
  <c r="O30" i="1"/>
  <c r="O29" i="1"/>
  <c r="O28" i="1"/>
  <c r="O16" i="1"/>
  <c r="O15" i="1"/>
  <c r="O14" i="1"/>
  <c r="O13" i="1"/>
  <c r="O12" i="1"/>
  <c r="O11" i="1"/>
  <c r="O10" i="1"/>
  <c r="O9" i="1"/>
  <c r="N30" i="1"/>
  <c r="N29" i="1"/>
  <c r="N28" i="1"/>
  <c r="N16" i="1"/>
  <c r="N15" i="1"/>
  <c r="N14" i="1"/>
  <c r="N13" i="1"/>
  <c r="N12" i="1"/>
  <c r="N11" i="1"/>
  <c r="N10" i="1"/>
  <c r="N9" i="1"/>
  <c r="M30" i="1"/>
  <c r="M29" i="1"/>
  <c r="M28" i="1"/>
  <c r="M16" i="1"/>
  <c r="M15" i="1"/>
  <c r="M14" i="1"/>
  <c r="M13" i="1"/>
  <c r="M12" i="1"/>
  <c r="M11" i="1"/>
  <c r="M10" i="1"/>
  <c r="M9" i="1"/>
  <c r="L30" i="1"/>
  <c r="L29" i="1"/>
  <c r="L28" i="1"/>
  <c r="L16" i="1"/>
  <c r="L15" i="1"/>
  <c r="L14" i="1"/>
  <c r="L13" i="1"/>
  <c r="L12" i="1"/>
  <c r="L11" i="1"/>
  <c r="L10" i="1"/>
  <c r="L9" i="1"/>
  <c r="K30" i="1"/>
  <c r="K29" i="1"/>
  <c r="K28" i="1"/>
  <c r="K16" i="1"/>
  <c r="K15" i="1"/>
  <c r="K14" i="1"/>
  <c r="K13" i="1"/>
  <c r="K12" i="1"/>
  <c r="K11" i="1"/>
  <c r="K10" i="1"/>
  <c r="K9" i="1"/>
  <c r="J30" i="1"/>
  <c r="J29" i="1"/>
  <c r="J28" i="1"/>
  <c r="J16" i="1"/>
  <c r="J15" i="1"/>
  <c r="J14" i="1"/>
  <c r="J13" i="1"/>
  <c r="J12" i="1"/>
  <c r="J11" i="1"/>
  <c r="J10" i="1"/>
  <c r="J9" i="1"/>
  <c r="I30" i="1"/>
  <c r="I29" i="1"/>
  <c r="I28" i="1"/>
  <c r="I16" i="1"/>
  <c r="I15" i="1"/>
  <c r="I14" i="1"/>
  <c r="I13" i="1"/>
  <c r="I12" i="1"/>
  <c r="I11" i="1"/>
  <c r="I10" i="1"/>
  <c r="I9" i="1"/>
  <c r="H30" i="1"/>
  <c r="H29" i="1"/>
  <c r="H28" i="1"/>
  <c r="H16" i="1"/>
  <c r="H15" i="1"/>
  <c r="H14" i="1"/>
  <c r="H13" i="1"/>
  <c r="H12" i="1"/>
  <c r="H11" i="1"/>
  <c r="H10" i="1"/>
  <c r="AQ29" i="1" l="1"/>
  <c r="G30" i="1"/>
  <c r="G28" i="1"/>
  <c r="G16" i="1"/>
  <c r="G15" i="1"/>
  <c r="G14" i="1"/>
  <c r="G13" i="1"/>
  <c r="G12" i="1"/>
  <c r="G11" i="1"/>
  <c r="G10" i="1"/>
  <c r="G29" i="1" s="1"/>
  <c r="F1" i="1"/>
  <c r="B1" i="5"/>
  <c r="A4" i="5" l="1"/>
  <c r="B4" i="5"/>
  <c r="C4" i="5"/>
  <c r="A5" i="5"/>
  <c r="B5" i="5"/>
  <c r="C5" i="5"/>
  <c r="A6" i="5"/>
  <c r="B6" i="5"/>
  <c r="C6" i="5"/>
  <c r="A7" i="5"/>
  <c r="B7" i="5"/>
  <c r="C7" i="5"/>
  <c r="A8" i="5"/>
  <c r="B8" i="5"/>
  <c r="C8" i="5"/>
  <c r="A9" i="5"/>
  <c r="B9" i="5"/>
  <c r="C9" i="5"/>
  <c r="A10" i="5"/>
  <c r="B10" i="5"/>
  <c r="C10" i="5"/>
  <c r="A11" i="5"/>
  <c r="B11" i="5"/>
  <c r="C11" i="5"/>
  <c r="A12" i="5"/>
  <c r="B12" i="5"/>
  <c r="C12" i="5"/>
  <c r="A13" i="5"/>
  <c r="B13" i="5"/>
  <c r="C13" i="5"/>
  <c r="A14" i="5"/>
  <c r="B14" i="5"/>
  <c r="C14" i="5"/>
  <c r="A15" i="5"/>
  <c r="B15" i="5"/>
  <c r="C15" i="5"/>
  <c r="B3" i="5"/>
  <c r="C3" i="5"/>
  <c r="A3" i="5"/>
  <c r="B34" i="1"/>
  <c r="B33" i="1" l="1"/>
  <c r="D4" i="1"/>
  <c r="E16" i="1" l="1"/>
  <c r="E15" i="1"/>
  <c r="E14" i="1"/>
  <c r="E13" i="1"/>
  <c r="E12" i="1"/>
  <c r="E11" i="1"/>
  <c r="E10" i="1"/>
  <c r="F28" i="1"/>
  <c r="F30" i="1"/>
  <c r="E28" i="1"/>
  <c r="E30" i="1"/>
  <c r="F29" i="1" l="1"/>
  <c r="E29" i="1"/>
  <c r="G31" i="1"/>
  <c r="D30" i="1"/>
  <c r="D29" i="1"/>
  <c r="D28" i="1"/>
  <c r="B28" i="1"/>
  <c r="D27" i="1"/>
  <c r="D26" i="1"/>
  <c r="D25" i="1"/>
  <c r="D24" i="1"/>
  <c r="D23" i="1"/>
  <c r="D22" i="1"/>
  <c r="D21" i="1"/>
  <c r="D20" i="1"/>
  <c r="D19" i="1"/>
  <c r="D18" i="1"/>
  <c r="B18" i="1"/>
  <c r="D17" i="1"/>
  <c r="B17" i="1"/>
  <c r="D16" i="1"/>
  <c r="D15" i="1"/>
  <c r="C15" i="1"/>
  <c r="D14" i="1"/>
  <c r="C14" i="1"/>
  <c r="D13" i="1"/>
  <c r="D12" i="1"/>
  <c r="D11" i="1"/>
  <c r="D10" i="1"/>
  <c r="C10" i="1"/>
  <c r="B10" i="1"/>
  <c r="D9" i="1"/>
  <c r="B9" i="1"/>
  <c r="D8" i="1"/>
  <c r="D7" i="1"/>
  <c r="B7" i="1"/>
  <c r="D6" i="1"/>
  <c r="D5" i="1"/>
  <c r="D3" i="1"/>
  <c r="F31" i="1" l="1"/>
  <c r="E31" i="1"/>
</calcChain>
</file>

<file path=xl/comments1.xml><?xml version="1.0" encoding="utf-8"?>
<comments xmlns="http://schemas.openxmlformats.org/spreadsheetml/2006/main">
  <authors>
    <author>Xie Chao (C/MPE)</author>
  </authors>
  <commentList>
    <comment ref="D7" authorId="0" shapeId="0">
      <text>
        <r>
          <rPr>
            <b/>
            <sz val="9"/>
            <color indexed="81"/>
            <rFont val="Segoe UI"/>
            <family val="2"/>
          </rPr>
          <t>Xie Chao (C/MPE):</t>
        </r>
        <r>
          <rPr>
            <sz val="9"/>
            <color indexed="81"/>
            <rFont val="Segoe UI"/>
            <family val="2"/>
          </rPr>
          <t xml:space="preserve">
3: process available / producable immediately
2: process not available / small investment necessary / timeline uncritical
1: process not available / high investment necessary / timeline critical </t>
        </r>
      </text>
    </comment>
    <comment ref="D8" authorId="0" shapeId="0">
      <text>
        <r>
          <rPr>
            <b/>
            <sz val="9"/>
            <color indexed="81"/>
            <rFont val="Segoe UI"/>
            <family val="2"/>
          </rPr>
          <t>Xie Chao (C/MPE):</t>
        </r>
        <r>
          <rPr>
            <sz val="9"/>
            <color indexed="81"/>
            <rFont val="Segoe UI"/>
            <family val="2"/>
          </rPr>
          <t xml:space="preserve">
3: series process directly transferable
2: series process only conditionally transferable. comparable process exists in running series production, but adaption/modifidation acc. to project specific requirements necessary.
1: series process not transferable. no comparable process exists in running series production </t>
        </r>
      </text>
    </comment>
    <comment ref="D9" authorId="0" shapeId="0">
      <text>
        <r>
          <rPr>
            <b/>
            <sz val="9"/>
            <color indexed="81"/>
            <rFont val="Segoe UI"/>
            <family val="2"/>
          </rPr>
          <t>Xie Chao (C/MPE):</t>
        </r>
        <r>
          <rPr>
            <sz val="9"/>
            <color indexed="81"/>
            <rFont val="Segoe UI"/>
            <family val="2"/>
          </rPr>
          <t xml:space="preserve">
3: known within Bosch
2: new material or process or design
1: new material, process, design
</t>
        </r>
      </text>
    </comment>
    <comment ref="D10" authorId="0" shapeId="0">
      <text>
        <r>
          <rPr>
            <b/>
            <sz val="9"/>
            <color indexed="81"/>
            <rFont val="Segoe UI"/>
            <family val="2"/>
          </rPr>
          <t xml:space="preserve">Xie Chao (C/MPE):
</t>
        </r>
        <r>
          <rPr>
            <sz val="9"/>
            <color indexed="81"/>
            <rFont val="Segoe UI"/>
            <family val="2"/>
          </rPr>
          <t>3: yes
2: partly yes 
1: no</t>
        </r>
        <r>
          <rPr>
            <b/>
            <sz val="9"/>
            <color indexed="81"/>
            <rFont val="Segoe UI"/>
            <family val="2"/>
          </rPr>
          <t xml:space="preserve">
</t>
        </r>
        <r>
          <rPr>
            <sz val="9"/>
            <color indexed="81"/>
            <rFont val="Segoe UI"/>
            <family val="2"/>
          </rPr>
          <t xml:space="preserve">
A process is capable when he meets the following standard for „reliable processes“:
cp&gt; 2,0 (6 Sigma to customer tolerance) or 100% testing with high yield (rework free)
0-km &lt; 10 ppm
No open 8-D (internal/ external)</t>
        </r>
      </text>
    </comment>
    <comment ref="D11" authorId="0" shapeId="0">
      <text>
        <r>
          <rPr>
            <b/>
            <sz val="9"/>
            <color indexed="81"/>
            <rFont val="Segoe UI"/>
            <family val="2"/>
          </rPr>
          <t>Xie Chao (C/MPE):</t>
        </r>
        <r>
          <rPr>
            <sz val="9"/>
            <color indexed="81"/>
            <rFont val="Segoe UI"/>
            <family val="2"/>
          </rPr>
          <t xml:space="preserve">
3: yes
2: partly yes
1: no
A process is lean, if it meets the following criteria:
Inline-capability (no batch, high availability of equipment (process 
time is less than cycle time (cope with breakdowns)))
Poka Yoke
JIDOKA (machine automatically recognizes a part failure, reject 
wrong part)
Short quality loops
Minimum of MUDA (waste)</t>
        </r>
      </text>
    </comment>
    <comment ref="D12" authorId="0" shapeId="0">
      <text>
        <r>
          <rPr>
            <b/>
            <sz val="9"/>
            <color indexed="81"/>
            <rFont val="Segoe UI"/>
            <family val="2"/>
          </rPr>
          <t>Xie Chao (C/MPE):</t>
        </r>
        <r>
          <rPr>
            <sz val="9"/>
            <color indexed="81"/>
            <rFont val="Segoe UI"/>
            <family val="2"/>
          </rPr>
          <t xml:space="preserve">
3: yes
2: partly yes
1: no
Design is robust, if these deviations must not be controlled by the process!
Robust Design –single process/ part
Piece to Piece - fluctuations in material/ dimensions are taken into consideration (recognition with actions)
Fluctuations are identified and tolerances are recognized (tool 
abrasion, climatic conditions, cleanliness,...)
Complexity of design is low
Design allows variation of process technology without losses in 
quality</t>
        </r>
      </text>
    </comment>
    <comment ref="D13" authorId="0" shapeId="0">
      <text>
        <r>
          <rPr>
            <b/>
            <sz val="9"/>
            <color indexed="81"/>
            <rFont val="Segoe UI"/>
            <family val="2"/>
          </rPr>
          <t>Xie Chao (C/MPE):</t>
        </r>
        <r>
          <rPr>
            <sz val="9"/>
            <color indexed="81"/>
            <rFont val="Segoe UI"/>
            <family val="2"/>
          </rPr>
          <t xml:space="preserve">
3: yes
2: partly yes
1: no
The cleanliness requirements for component/process are derived from the product quality requirements and were respected:
Contamination with particles or fluids 
(within process: e.g. burr formation, swarf, ...
or from outside: e.g. contamination by handling, packaging, 
transport,...)
-&gt;Clean room, vacuum cleaning or blowing, card box free 
production/packaging, washing, drying
Magnetizing -&gt;Demagnetizing
Supplier parts:
Cleanliness requirements are specified and respected by the supplier</t>
        </r>
      </text>
    </comment>
    <comment ref="D14" authorId="0" shapeId="0">
      <text>
        <r>
          <rPr>
            <b/>
            <sz val="9"/>
            <color indexed="81"/>
            <rFont val="Segoe UI"/>
            <family val="2"/>
          </rPr>
          <t>Xie Chao (C/MPE):</t>
        </r>
        <r>
          <rPr>
            <sz val="9"/>
            <color indexed="81"/>
            <rFont val="Segoe UI"/>
            <family val="2"/>
          </rPr>
          <t xml:space="preserve">
3: cycle time ≤ customer Takt (TT)
1: cycle time &gt; customer Takt (TT) 
</t>
        </r>
      </text>
    </comment>
    <comment ref="D15" authorId="0" shapeId="0">
      <text>
        <r>
          <rPr>
            <b/>
            <sz val="9"/>
            <color indexed="81"/>
            <rFont val="Segoe UI"/>
            <family val="2"/>
          </rPr>
          <t>Xie Chao (C/MPE):</t>
        </r>
        <r>
          <rPr>
            <sz val="9"/>
            <color indexed="81"/>
            <rFont val="Segoe UI"/>
            <family val="2"/>
          </rPr>
          <t xml:space="preserve">
1: ergonomics problem exists in running series production
3: ergonomics without problem</t>
        </r>
      </text>
    </comment>
    <comment ref="D16" authorId="0" shapeId="0">
      <text>
        <r>
          <rPr>
            <b/>
            <sz val="9"/>
            <color indexed="81"/>
            <rFont val="Segoe UI"/>
            <family val="2"/>
          </rPr>
          <t>Xie Chao (C/MPE):</t>
        </r>
        <r>
          <rPr>
            <sz val="9"/>
            <color indexed="81"/>
            <rFont val="Segoe UI"/>
            <family val="2"/>
          </rPr>
          <t xml:space="preserve">
3: Process is standard process and can within IPN Network easaly implemented
2: Process can be implemented in IPN Network with support from Lead Plant, but not critical
1: Process need strong support from Lead Plant to implement them in IPN; Process is for local plant unknown; Process is complexe and not standard process (e.g. laser welding)</t>
        </r>
      </text>
    </comment>
    <comment ref="D25" authorId="0" shapeId="0">
      <text>
        <r>
          <rPr>
            <b/>
            <sz val="9"/>
            <color indexed="81"/>
            <rFont val="Segoe UI"/>
            <family val="2"/>
          </rPr>
          <t>Xie Chao (C/MPE):</t>
        </r>
        <r>
          <rPr>
            <sz val="9"/>
            <color indexed="81"/>
            <rFont val="Segoe UI"/>
            <family val="2"/>
          </rPr>
          <t xml:space="preserve">
3: KnowHow available internally or externally
1: KnowHow not available internally or externally</t>
        </r>
      </text>
    </comment>
    <comment ref="D26" authorId="0" shapeId="0">
      <text>
        <r>
          <rPr>
            <b/>
            <sz val="9"/>
            <color indexed="81"/>
            <rFont val="Segoe UI"/>
            <family val="2"/>
          </rPr>
          <t>Xie Chao (C/MPE):</t>
        </r>
        <r>
          <rPr>
            <sz val="9"/>
            <color indexed="81"/>
            <rFont val="Segoe UI"/>
            <family val="2"/>
          </rPr>
          <t xml:space="preserve">
3: process development can be finished on budget
1: process development will be finished over bedget</t>
        </r>
      </text>
    </comment>
    <comment ref="D27" authorId="0" shapeId="0">
      <text>
        <r>
          <rPr>
            <b/>
            <sz val="9"/>
            <color indexed="81"/>
            <rFont val="Segoe UI"/>
            <family val="2"/>
          </rPr>
          <t>Xie Chao (C/MPE):</t>
        </r>
        <r>
          <rPr>
            <sz val="9"/>
            <color indexed="81"/>
            <rFont val="Segoe UI"/>
            <family val="2"/>
          </rPr>
          <t xml:space="preserve">
3: process development can be finished until C-sample/QG2
2: process development can be finished until D-sample
1: process development can be finished after D-sample (SOP-delay!)</t>
        </r>
      </text>
    </comment>
    <comment ref="D28" authorId="0" shapeId="0">
      <text>
        <r>
          <rPr>
            <b/>
            <sz val="9"/>
            <color indexed="81"/>
            <rFont val="Segoe UI"/>
            <family val="2"/>
          </rPr>
          <t>Xie Chao (C/MPE):</t>
        </r>
        <r>
          <rPr>
            <sz val="9"/>
            <color indexed="81"/>
            <rFont val="Segoe UI"/>
            <family val="2"/>
          </rPr>
          <t xml:space="preserve">
</t>
        </r>
        <r>
          <rPr>
            <b/>
            <sz val="9"/>
            <color indexed="81"/>
            <rFont val="Segoe UI"/>
            <family val="2"/>
          </rPr>
          <t>x=3</t>
        </r>
        <r>
          <rPr>
            <sz val="9"/>
            <color indexed="81"/>
            <rFont val="Segoe UI"/>
            <family val="2"/>
          </rPr>
          <t xml:space="preserve"> -&gt; process available / producable immediately
</t>
        </r>
        <r>
          <rPr>
            <b/>
            <sz val="9"/>
            <color indexed="81"/>
            <rFont val="Segoe UI"/>
            <family val="2"/>
          </rPr>
          <t>x=2</t>
        </r>
        <r>
          <rPr>
            <sz val="9"/>
            <color indexed="81"/>
            <rFont val="Segoe UI"/>
            <family val="2"/>
          </rPr>
          <t xml:space="preserve"> -&gt; process not available / small investment necessary / timeline uncritical
</t>
        </r>
        <r>
          <rPr>
            <b/>
            <sz val="9"/>
            <color indexed="81"/>
            <rFont val="Segoe UI"/>
            <family val="2"/>
          </rPr>
          <t>x=1</t>
        </r>
        <r>
          <rPr>
            <sz val="9"/>
            <color indexed="81"/>
            <rFont val="Segoe UI"/>
            <family val="2"/>
          </rPr>
          <t xml:space="preserve"> -&gt; process not available / high investment necessary / timeline critical </t>
        </r>
      </text>
    </comment>
    <comment ref="D29" authorId="0" shapeId="0">
      <text>
        <r>
          <rPr>
            <b/>
            <sz val="9"/>
            <color indexed="81"/>
            <rFont val="Segoe UI"/>
            <family val="2"/>
          </rPr>
          <t>Xie Chao (C/MPE):</t>
        </r>
        <r>
          <rPr>
            <sz val="9"/>
            <color indexed="81"/>
            <rFont val="Segoe UI"/>
            <family val="2"/>
          </rPr>
          <t xml:space="preserve">
</t>
        </r>
        <r>
          <rPr>
            <b/>
            <sz val="9"/>
            <color indexed="81"/>
            <rFont val="Segoe UI"/>
            <family val="2"/>
          </rPr>
          <t>x=4</t>
        </r>
        <r>
          <rPr>
            <sz val="9"/>
            <color indexed="81"/>
            <rFont val="Segoe UI"/>
            <family val="2"/>
          </rPr>
          <t xml:space="preserve"> -&gt; full process maturity. directly transferable process from running series production available + sereies process fulfills criterion in No.8-14 without deviation
</t>
        </r>
        <r>
          <rPr>
            <b/>
            <sz val="9"/>
            <color indexed="81"/>
            <rFont val="Segoe UI"/>
            <family val="2"/>
          </rPr>
          <t>3&lt;x&lt;4</t>
        </r>
        <r>
          <rPr>
            <sz val="9"/>
            <color indexed="81"/>
            <rFont val="Segoe UI"/>
            <family val="2"/>
          </rPr>
          <t xml:space="preserve"> -&gt; directly transferable process from running series production available. series process has problems regarding criterion in No.8-14
</t>
        </r>
        <r>
          <rPr>
            <b/>
            <sz val="9"/>
            <color indexed="81"/>
            <rFont val="Segoe UI"/>
            <family val="2"/>
          </rPr>
          <t>2&lt;x≤3</t>
        </r>
        <r>
          <rPr>
            <sz val="9"/>
            <color indexed="81"/>
            <rFont val="Segoe UI"/>
            <family val="2"/>
          </rPr>
          <t xml:space="preserve"> -&gt; only conditionally transferable process from series production available. adpation/modification necessary. series process </t>
        </r>
        <r>
          <rPr>
            <sz val="9"/>
            <color indexed="81"/>
            <rFont val="Segoe UI"/>
            <family val="2"/>
          </rPr>
          <t>might</t>
        </r>
        <r>
          <rPr>
            <sz val="9"/>
            <color indexed="81"/>
            <rFont val="Segoe UI"/>
            <family val="2"/>
          </rPr>
          <t xml:space="preserve"> have problem regarding evaluation based on criterion in No.8-14
</t>
        </r>
        <r>
          <rPr>
            <b/>
            <sz val="9"/>
            <color indexed="81"/>
            <rFont val="Segoe UI"/>
            <family val="2"/>
          </rPr>
          <t>x=1</t>
        </r>
        <r>
          <rPr>
            <sz val="9"/>
            <color indexed="81"/>
            <rFont val="Segoe UI"/>
            <family val="2"/>
          </rPr>
          <t xml:space="preserve"> -&gt; series process not transferable. no comparable process from running series production available</t>
        </r>
      </text>
    </comment>
    <comment ref="D30" authorId="0" shapeId="0">
      <text>
        <r>
          <rPr>
            <b/>
            <sz val="9"/>
            <color indexed="81"/>
            <rFont val="Segoe UI"/>
            <family val="2"/>
          </rPr>
          <t>Xie Chao (C/MPE):</t>
        </r>
        <r>
          <rPr>
            <sz val="9"/>
            <color indexed="81"/>
            <rFont val="Segoe UI"/>
            <family val="2"/>
          </rPr>
          <t xml:space="preserve">
</t>
        </r>
        <r>
          <rPr>
            <b/>
            <sz val="9"/>
            <color indexed="81"/>
            <rFont val="Segoe UI"/>
            <family val="2"/>
          </rPr>
          <t>x=3</t>
        </r>
        <r>
          <rPr>
            <sz val="9"/>
            <color indexed="81"/>
            <rFont val="Segoe UI"/>
            <family val="2"/>
          </rPr>
          <t xml:space="preserve"> -&gt; process development will be finished by C-sampe/QG2 on time </t>
        </r>
        <r>
          <rPr>
            <u/>
            <sz val="9"/>
            <color indexed="81"/>
            <rFont val="Segoe UI"/>
            <family val="2"/>
          </rPr>
          <t>and</t>
        </r>
        <r>
          <rPr>
            <sz val="9"/>
            <color indexed="81"/>
            <rFont val="Segoe UI"/>
            <family val="2"/>
          </rPr>
          <t xml:space="preserve"> on budget
</t>
        </r>
        <r>
          <rPr>
            <b/>
            <sz val="9"/>
            <color indexed="81"/>
            <rFont val="Segoe UI"/>
            <family val="2"/>
          </rPr>
          <t>x=2</t>
        </r>
        <r>
          <rPr>
            <sz val="9"/>
            <color indexed="81"/>
            <rFont val="Segoe UI"/>
            <family val="2"/>
          </rPr>
          <t xml:space="preserve">-&gt; process development will be finished by D-sample on budget
</t>
        </r>
        <r>
          <rPr>
            <b/>
            <sz val="9"/>
            <color indexed="81"/>
            <rFont val="Segoe UI"/>
            <family val="2"/>
          </rPr>
          <t>x=1</t>
        </r>
        <r>
          <rPr>
            <sz val="9"/>
            <color indexed="81"/>
            <rFont val="Segoe UI"/>
            <family val="2"/>
          </rPr>
          <t xml:space="preserve"> -&gt; process development will not be finished on time or on budget -&gt; either after D-sample (SOP-delay!) or over budget</t>
        </r>
      </text>
    </comment>
    <comment ref="B33" authorId="0" shapeId="0">
      <text>
        <r>
          <rPr>
            <b/>
            <sz val="9"/>
            <color indexed="81"/>
            <rFont val="Segoe UI"/>
            <family val="2"/>
          </rPr>
          <t>Xie Chao (C/MPE):</t>
        </r>
        <r>
          <rPr>
            <sz val="9"/>
            <color indexed="81"/>
            <rFont val="Segoe UI"/>
            <family val="2"/>
          </rPr>
          <t xml:space="preserve">
process is critical for sampling phase if the evaluation result in row No.5 ≤ 2, which means, there is no process available for sampling manufacturing</t>
        </r>
      </text>
    </comment>
    <comment ref="B34" authorId="0" shapeId="0">
      <text>
        <r>
          <rPr>
            <b/>
            <sz val="9"/>
            <color indexed="81"/>
            <rFont val="Segoe UI"/>
            <family val="2"/>
          </rPr>
          <t>Xie Chao (C/MPE):</t>
        </r>
        <r>
          <rPr>
            <sz val="9"/>
            <color indexed="81"/>
            <rFont val="Segoe UI"/>
            <family val="2"/>
          </rPr>
          <t xml:space="preserve">
process is critical for series production if the evaluation results in both row No.27 and No.28 ≤ 2, which means the maturity degree of exising process is too low and there is middle to high risk level for process development</t>
        </r>
      </text>
    </comment>
  </commentList>
</comments>
</file>

<file path=xl/sharedStrings.xml><?xml version="1.0" encoding="utf-8"?>
<sst xmlns="http://schemas.openxmlformats.org/spreadsheetml/2006/main" count="143" uniqueCount="130">
  <si>
    <t>laser dicing</t>
  </si>
  <si>
    <t>dispensing</t>
  </si>
  <si>
    <r>
      <rPr>
        <b/>
        <sz val="10"/>
        <color theme="1"/>
        <rFont val="Arial"/>
        <family val="2"/>
      </rPr>
      <t>Input:</t>
    </r>
    <r>
      <rPr>
        <sz val="10"/>
        <color theme="1"/>
        <rFont val="Arial"/>
        <family val="2"/>
      </rPr>
      <t xml:space="preserve">
MEMS-wafer with 3200 chips and functional layers. 
Dicing Line-Structure: dielectric layer (SiN, SiO2) with 8µm thickness, rest of VKI-impregnation 
</t>
    </r>
    <r>
      <rPr>
        <b/>
        <sz val="10"/>
        <color theme="1"/>
        <rFont val="Arial"/>
        <family val="2"/>
      </rPr>
      <t>Output:</t>
    </r>
    <r>
      <rPr>
        <sz val="10"/>
        <color theme="1"/>
        <rFont val="Arial"/>
        <family val="2"/>
      </rPr>
      <t xml:space="preserve"> 
separation rate of chips: 100%
meandering + chip-out &lt; 25µm
free of particle generation
cyle time per wafer ≤ 6min</t>
    </r>
  </si>
  <si>
    <r>
      <rPr>
        <b/>
        <sz val="10"/>
        <color theme="1"/>
        <rFont val="Arial"/>
        <family val="2"/>
      </rPr>
      <t>Input:</t>
    </r>
    <r>
      <rPr>
        <sz val="10"/>
        <color theme="1"/>
        <rFont val="Arial"/>
        <family val="2"/>
      </rPr>
      <t xml:space="preserve"> 
functional paste HS Skeleton
with Viscosity 10-30cP and </t>
    </r>
    <r>
      <rPr>
        <sz val="10"/>
        <color theme="1"/>
        <rFont val="Bosch Office Sans"/>
        <family val="2"/>
      </rPr>
      <t>∅50nm Pt + ∅50nm YSZ particles, density 0,886mg/µL
MEMS-wafer with 3200 chips/dispensing postions</t>
    </r>
    <r>
      <rPr>
        <sz val="10"/>
        <color theme="1"/>
        <rFont val="Arial"/>
        <family val="2"/>
      </rPr>
      <t xml:space="preserve">
</t>
    </r>
    <r>
      <rPr>
        <b/>
        <sz val="10"/>
        <color theme="1"/>
        <rFont val="Arial"/>
        <family val="2"/>
      </rPr>
      <t>Output:</t>
    </r>
    <r>
      <rPr>
        <sz val="10"/>
        <color theme="1"/>
        <rFont val="Arial"/>
        <family val="2"/>
      </rPr>
      <t xml:space="preserve">
dispensing volume: 0,447µL pro chip (1x1mm)
coverage pro chip: 100%
repeatability, Cpk ≥ 1,67
cycle time per wafer ≤ 4min
automatic loading + automatic wafer alignment</t>
    </r>
  </si>
  <si>
    <t>thick dielectric layer limited penetration of laser through material crosssection and caused strong meandering and chip-out. rest of VKI-impregnation on dicing line could have affected separation rate negatively (&lt;20%)</t>
  </si>
  <si>
    <r>
      <rPr>
        <b/>
        <sz val="10"/>
        <color theme="1"/>
        <rFont val="Arial"/>
        <family val="2"/>
      </rPr>
      <t>Laser Dicing Process:</t>
    </r>
    <r>
      <rPr>
        <sz val="10"/>
        <color theme="1"/>
        <rFont val="Arial"/>
        <family val="2"/>
      </rPr>
      <t xml:space="preserve">
test process parameter with higher performance laser
test straight line cutting pattern
</t>
    </r>
    <r>
      <rPr>
        <b/>
        <sz val="10"/>
        <color theme="1"/>
        <rFont val="Arial"/>
        <family val="2"/>
      </rPr>
      <t>Wafer Design Optimization:</t>
    </r>
    <r>
      <rPr>
        <sz val="10"/>
        <color theme="1"/>
        <rFont val="Arial"/>
        <family val="2"/>
      </rPr>
      <t xml:space="preserve"> 
reduction of dielectric layer thickness</t>
    </r>
  </si>
  <si>
    <t>Accretech, Disco for Dicing
RtP for Wafer Design Optimization</t>
  </si>
  <si>
    <t>tbd.</t>
  </si>
  <si>
    <t>Deutsch</t>
  </si>
  <si>
    <t>English</t>
  </si>
  <si>
    <t>Sprache/Language</t>
  </si>
  <si>
    <t>Inhalt</t>
  </si>
  <si>
    <t>Bemerkung</t>
  </si>
  <si>
    <t>Prozess-Details beschreiben</t>
  </si>
  <si>
    <t>No.1-4</t>
  </si>
  <si>
    <t xml:space="preserve">aktuelle Verfügbarkeit der Prozesse bewerten </t>
  </si>
  <si>
    <t>No.5-6</t>
  </si>
  <si>
    <t>neue Prozesse bewerten bzgl. Neuheitsgrad</t>
  </si>
  <si>
    <t>No.7; ausfüllen wenn No.6=1 oder 2</t>
  </si>
  <si>
    <t xml:space="preserve">Reifegrad der existierenden Serienprozesse bewerten </t>
  </si>
  <si>
    <t>No.8-14; ausfüllen wenn No.6=2 oder 3</t>
  </si>
  <si>
    <t xml:space="preserve">qualitative Beschreibung der Risiken als Zusammenfassung/Begründung für Bewertungen in No.7-14 </t>
  </si>
  <si>
    <t>No.15</t>
  </si>
  <si>
    <t>Details und Rahmenbedingung für Prozessentwicklung beschreiben + Aufwand anhand Ergebnisse aus No.15 abschätzen</t>
  </si>
  <si>
    <t>No.16-22</t>
  </si>
  <si>
    <t xml:space="preserve">Reifegrad / Risiko von Prozessentwicklung anhand Ergebnisse aus No.16-22 abschätzen </t>
  </si>
  <si>
    <t>Risikoniveau/Gefährdung für Musterphase = Ergebnis aus No.5</t>
  </si>
  <si>
    <r>
      <rPr>
        <b/>
        <sz val="10"/>
        <color theme="1"/>
        <rFont val="Arial"/>
        <family val="2"/>
      </rPr>
      <t>Interpretation der Bewertungsergebnisse:</t>
    </r>
    <r>
      <rPr>
        <sz val="10"/>
        <color theme="1"/>
        <rFont val="Arial"/>
        <family val="2"/>
      </rPr>
      <t xml:space="preserve">
</t>
    </r>
    <r>
      <rPr>
        <b/>
        <sz val="10"/>
        <color theme="1"/>
        <rFont val="Arial"/>
        <family val="2"/>
      </rPr>
      <t>x=3 -&gt;</t>
    </r>
    <r>
      <rPr>
        <sz val="10"/>
        <color theme="1"/>
        <rFont val="Arial"/>
        <family val="2"/>
      </rPr>
      <t xml:space="preserve"> Einrichtungen Verfügbar / Fertigbar ab sofort
</t>
    </r>
    <r>
      <rPr>
        <b/>
        <sz val="10"/>
        <color theme="1"/>
        <rFont val="Arial"/>
        <family val="2"/>
      </rPr>
      <t>x=2 -&gt;</t>
    </r>
    <r>
      <rPr>
        <sz val="10"/>
        <color theme="1"/>
        <rFont val="Arial"/>
        <family val="2"/>
      </rPr>
      <t xml:space="preserve"> Einrichtungen nicht Verfügbar / Kleine Investition notw. / Zetischiene Unkritisch
</t>
    </r>
    <r>
      <rPr>
        <b/>
        <sz val="10"/>
        <color theme="1"/>
        <rFont val="Arial"/>
        <family val="2"/>
      </rPr>
      <t>x=1 -&gt;</t>
    </r>
    <r>
      <rPr>
        <sz val="10"/>
        <color theme="1"/>
        <rFont val="Arial"/>
        <family val="2"/>
      </rPr>
      <t xml:space="preserve"> Einrichtungen nicht Verfügbar / große Investition notw. / Zetischiene kritisch</t>
    </r>
  </si>
  <si>
    <t>ProessReifegrad für Serie = Verfügbarkeit existierender Serienprozesse + (Reifegrad der existierender Serienprozesse * Neuheitsgrad der neuen Prozesse)</t>
  </si>
  <si>
    <t>No.26 (automatisch berechnet)</t>
  </si>
  <si>
    <r>
      <rPr>
        <b/>
        <sz val="10"/>
        <color theme="1"/>
        <rFont val="Arial"/>
        <family val="2"/>
      </rPr>
      <t>Interpretation der Bewertungsergebnisse:</t>
    </r>
    <r>
      <rPr>
        <sz val="10"/>
        <color theme="1"/>
        <rFont val="Arial"/>
        <family val="2"/>
      </rPr>
      <t xml:space="preserve">
</t>
    </r>
    <r>
      <rPr>
        <b/>
        <sz val="10"/>
        <color theme="1"/>
        <rFont val="Arial"/>
        <family val="2"/>
      </rPr>
      <t xml:space="preserve">
x=4</t>
    </r>
    <r>
      <rPr>
        <sz val="10"/>
        <color theme="1"/>
        <rFont val="Arial"/>
        <family val="2"/>
      </rPr>
      <t xml:space="preserve"> -&gt; volle Reifegrad, direkt übertragbare Serienprozess vorhanden + Serienprozess verfügt über hohe Reifegrade gemäß Kriterien aus No.8-14
</t>
    </r>
    <r>
      <rPr>
        <b/>
        <sz val="10"/>
        <color theme="1"/>
        <rFont val="Arial"/>
        <family val="2"/>
      </rPr>
      <t xml:space="preserve">
3&lt;x&lt;4</t>
    </r>
    <r>
      <rPr>
        <sz val="10"/>
        <color theme="1"/>
        <rFont val="Arial"/>
        <family val="2"/>
      </rPr>
      <t xml:space="preserve"> -&gt; direkt übertragbare Serienprozess vorhanden. Serienprozesse weisen Probleme auf gemäß Bewertung aus No.8-14
</t>
    </r>
    <r>
      <rPr>
        <b/>
        <sz val="10"/>
        <color theme="1"/>
        <rFont val="Arial"/>
        <family val="2"/>
      </rPr>
      <t xml:space="preserve">
2&lt;x&lt;3</t>
    </r>
    <r>
      <rPr>
        <sz val="10"/>
        <color theme="1"/>
        <rFont val="Arial"/>
        <family val="2"/>
      </rPr>
      <t xml:space="preserve"> -&gt; nur bedingt übertragbare Prozesse in der Serie vorhanden. Adaptierung/Modifikation notwendig. Serienprozesse weisen evtl. Probleme auf gemäß Bewertung aus No.8-14
</t>
    </r>
    <r>
      <rPr>
        <b/>
        <sz val="10"/>
        <color theme="1"/>
        <rFont val="Arial"/>
        <family val="2"/>
      </rPr>
      <t>x=1</t>
    </r>
    <r>
      <rPr>
        <sz val="10"/>
        <color theme="1"/>
        <rFont val="Arial"/>
        <family val="2"/>
      </rPr>
      <t xml:space="preserve"> -&gt; Serienprozess nicht übertragbar. Keine vergleichbare Prozesse in der Serien vorhanden</t>
    </r>
  </si>
  <si>
    <t>die schlechtere Bewertung für Budget-/Termineinhaltung stellt das Risikoniveau von Prozessentwicklung dar</t>
  </si>
  <si>
    <t>No.27 (automatisch berechnet)</t>
  </si>
  <si>
    <t>Anzahl kritischer Prozese in Musterphase</t>
  </si>
  <si>
    <t>No.28 (automatisch berechnet)</t>
  </si>
  <si>
    <t>ein Prozess ist kritisch für Musterphase wenn Bewertung von No.5 ≤ 2 ist. D.h. es gibt keine direkt verfügbare Prozess für Bemusterung</t>
  </si>
  <si>
    <t>Anzahl kritischer Prozesse in Serie</t>
  </si>
  <si>
    <t>No.29 (automatisch berechnet)</t>
  </si>
  <si>
    <t>No. 23-25</t>
  </si>
  <si>
    <t>No.30 (automatisch berechnet)</t>
  </si>
  <si>
    <t>Content</t>
  </si>
  <si>
    <t>row in evaluation sheet</t>
  </si>
  <si>
    <t>remarks</t>
  </si>
  <si>
    <t>Proces details description</t>
  </si>
  <si>
    <t>Evaluation of process availability</t>
  </si>
  <si>
    <t>Evaluation of novelty of new process within Bosch</t>
  </si>
  <si>
    <t>No.7; only fill out if row No.6=1 or 2</t>
  </si>
  <si>
    <t>Evaluation of maturity degree of existing series process</t>
  </si>
  <si>
    <t>No.8-14; only fill out if row No.6=2 or 3</t>
  </si>
  <si>
    <t>Qualitative description of risks as summary and explanation for evaluation in row No.7-14 in evaluation sheet</t>
  </si>
  <si>
    <t>Descripton of details and basic condition for process development activities + effort estimation based on evaluation in row No.15</t>
  </si>
  <si>
    <t>Estimation of maturity degree / risk for process development activities based on results of row No.16-22</t>
  </si>
  <si>
    <t>Risk level / threat for sampling phase = result in row No.5</t>
  </si>
  <si>
    <r>
      <rPr>
        <b/>
        <sz val="10"/>
        <color theme="1"/>
        <rFont val="Arial"/>
        <family val="2"/>
      </rPr>
      <t>Interpretation of eveluation result:</t>
    </r>
    <r>
      <rPr>
        <sz val="10"/>
        <color theme="1"/>
        <rFont val="Arial"/>
        <family val="2"/>
      </rPr>
      <t xml:space="preserve">
</t>
    </r>
    <r>
      <rPr>
        <b/>
        <sz val="10"/>
        <color theme="1"/>
        <rFont val="Arial"/>
        <family val="2"/>
      </rPr>
      <t>x=3 -&gt;</t>
    </r>
    <r>
      <rPr>
        <sz val="10"/>
        <color theme="1"/>
        <rFont val="Arial"/>
        <family val="2"/>
      </rPr>
      <t xml:space="preserve"> necessary process incl. equipment available / manufacturable immediately
</t>
    </r>
    <r>
      <rPr>
        <b/>
        <sz val="10"/>
        <color theme="1"/>
        <rFont val="Arial"/>
        <family val="2"/>
      </rPr>
      <t>x=2 -&gt;</t>
    </r>
    <r>
      <rPr>
        <sz val="10"/>
        <color theme="1"/>
        <rFont val="Arial"/>
        <family val="2"/>
      </rPr>
      <t xml:space="preserve"> necessary process incl. equipment not available / low investment necessary / uncritical time schedule
</t>
    </r>
    <r>
      <rPr>
        <b/>
        <sz val="10"/>
        <color theme="1"/>
        <rFont val="Arial"/>
        <family val="2"/>
      </rPr>
      <t>x=1 -&gt;</t>
    </r>
    <r>
      <rPr>
        <sz val="10"/>
        <color theme="1"/>
        <rFont val="Arial"/>
        <family val="2"/>
      </rPr>
      <t xml:space="preserve"> necessary process incl. equipment not available / high investment necessary / critical time schedule</t>
    </r>
  </si>
  <si>
    <t>Maturity degree for series production = availability of existing series process + maturity degree of existing series process * novelty of new process</t>
  </si>
  <si>
    <t>No.26 (calculated automatically)</t>
  </si>
  <si>
    <r>
      <rPr>
        <b/>
        <sz val="10"/>
        <color theme="1"/>
        <rFont val="Arial"/>
        <family val="2"/>
      </rPr>
      <t>Interpretation of eveluation result:</t>
    </r>
    <r>
      <rPr>
        <sz val="10"/>
        <color theme="1"/>
        <rFont val="Arial"/>
        <family val="2"/>
      </rPr>
      <t xml:space="preserve">
</t>
    </r>
    <r>
      <rPr>
        <b/>
        <sz val="10"/>
        <color theme="1"/>
        <rFont val="Arial"/>
        <family val="2"/>
      </rPr>
      <t xml:space="preserve">
x=4</t>
    </r>
    <r>
      <rPr>
        <sz val="10"/>
        <color theme="1"/>
        <rFont val="Arial"/>
        <family val="2"/>
      </rPr>
      <t xml:space="preserve"> -&gt; fully mature process. directly transferable process in series prodcution available + series process has high maturity degree regarding criteria in row No.8-14
</t>
    </r>
    <r>
      <rPr>
        <b/>
        <sz val="10"/>
        <color theme="1"/>
        <rFont val="Arial"/>
        <family val="2"/>
      </rPr>
      <t xml:space="preserve">
3&lt;x&lt;4</t>
    </r>
    <r>
      <rPr>
        <sz val="10"/>
        <color theme="1"/>
        <rFont val="Arial"/>
        <family val="2"/>
      </rPr>
      <t xml:space="preserve"> -&gt; directly transferable process in series production available. series process indicates problems/issues regarding criteria in row No.8-14
</t>
    </r>
    <r>
      <rPr>
        <b/>
        <sz val="10"/>
        <color theme="1"/>
        <rFont val="Arial"/>
        <family val="2"/>
      </rPr>
      <t xml:space="preserve">
2&lt;x&lt;3</t>
    </r>
    <r>
      <rPr>
        <sz val="10"/>
        <color theme="1"/>
        <rFont val="Arial"/>
        <family val="2"/>
      </rPr>
      <t xml:space="preserve"> -&gt; process in the series produciton only conditionally transferable. adaption / modification necessary. series process indicates problems/issues regarding criteria in row No.8-14 
</t>
    </r>
    <r>
      <rPr>
        <b/>
        <sz val="10"/>
        <color theme="1"/>
        <rFont val="Arial"/>
        <family val="2"/>
      </rPr>
      <t>x=1</t>
    </r>
    <r>
      <rPr>
        <sz val="10"/>
        <color theme="1"/>
        <rFont val="Arial"/>
        <family val="2"/>
      </rPr>
      <t xml:space="preserve"> -&gt; no directly transferable or comparable process in series production available. </t>
    </r>
  </si>
  <si>
    <t>The lower evaluation value for adherence to budget or to schedule indicate „the worst case“ and the risk level for process development</t>
  </si>
  <si>
    <t>No.27 (calculated automatically)</t>
  </si>
  <si>
    <t>Quantity of critical process in sampling phase</t>
  </si>
  <si>
    <t>No.28 (calculated automatically)</t>
  </si>
  <si>
    <t>process is critical for sampling phase if the evaluation result in row No.5 ≤ 2, which means, there is no process available for sampling manufacturing</t>
  </si>
  <si>
    <t>Quantity of critical process in series production</t>
  </si>
  <si>
    <t>No.29 (calculated automatically)</t>
  </si>
  <si>
    <t>No.30 (calculated automatically)</t>
  </si>
  <si>
    <t>high risk (low maturity degree of current series process and/or low maturity degree of process development)</t>
  </si>
  <si>
    <t>middle risk (middle maturity degree of current series process and/or middle maturity degree of process development)</t>
  </si>
  <si>
    <t>low risk  (high maturity degree of current series process and/or high maturity degree of process development)</t>
  </si>
  <si>
    <t>process is critical for series production if the evaluation results in both row No.27 and No.28 ≤ 2, which means the maturity degree of exising process is too low and there is middle to high risk level for process development</t>
  </si>
  <si>
    <r>
      <rPr>
        <b/>
        <sz val="10"/>
        <color theme="1"/>
        <rFont val="Arial"/>
        <family val="2"/>
      </rPr>
      <t>Interpretation of eveluation result:</t>
    </r>
    <r>
      <rPr>
        <sz val="10"/>
        <color theme="1"/>
        <rFont val="Arial"/>
        <family val="2"/>
      </rPr>
      <t xml:space="preserve">
</t>
    </r>
    <r>
      <rPr>
        <b/>
        <sz val="10"/>
        <color theme="1"/>
        <rFont val="Arial"/>
        <family val="2"/>
      </rPr>
      <t xml:space="preserve">
x=3</t>
    </r>
    <r>
      <rPr>
        <sz val="10"/>
        <color theme="1"/>
        <rFont val="Arial"/>
        <family val="2"/>
      </rPr>
      <t xml:space="preserve"> -&gt; process development will be finished by C-sample/QG2 within budget
</t>
    </r>
    <r>
      <rPr>
        <b/>
        <sz val="10"/>
        <color theme="1"/>
        <rFont val="Arial"/>
        <family val="2"/>
      </rPr>
      <t xml:space="preserve">
x=2</t>
    </r>
    <r>
      <rPr>
        <sz val="10"/>
        <color theme="1"/>
        <rFont val="Arial"/>
        <family val="2"/>
      </rPr>
      <t xml:space="preserve">-&gt; process development will be finished by D-sample within budget 
</t>
    </r>
    <r>
      <rPr>
        <b/>
        <sz val="10"/>
        <color theme="1"/>
        <rFont val="Arial"/>
        <family val="2"/>
      </rPr>
      <t>x=1</t>
    </r>
    <r>
      <rPr>
        <sz val="10"/>
        <color theme="1"/>
        <rFont val="Arial"/>
        <family val="2"/>
      </rPr>
      <t xml:space="preserve"> -&gt; process development will be finshed after D-sample. possibly over budget
the evaluation of total risk for series production is done by comparing the results in row No.27 and No.28. 
row No.27 shows the maturity degree of the existing process while row No.28 shows the possibility to cover the risk successfully by completing process development 
example: process maturity desgree for series =1, but maturity of process development=3. this case shows high risk level for process, but this can be covered by completing the process development very likely. this case is therefore less critical than the case if both values =1 </t>
    </r>
  </si>
  <si>
    <t>ein Prozess ist kritisch für Serie wenn die Bewertungen für No.27 und No.28 ≤ 2 ist. D.h. der ProzessReifegrad von existierenden Prozess ist zu niedrig, kombiniert mit mittlerem bis hohem Risikoniveau für Prozessentwicklung</t>
  </si>
  <si>
    <r>
      <rPr>
        <b/>
        <sz val="10"/>
        <color theme="1"/>
        <rFont val="Arial"/>
        <family val="2"/>
      </rPr>
      <t>Interpretation der Bewertungsergebnisse:</t>
    </r>
    <r>
      <rPr>
        <sz val="10"/>
        <color theme="1"/>
        <rFont val="Arial"/>
        <family val="2"/>
      </rPr>
      <t xml:space="preserve">
</t>
    </r>
    <r>
      <rPr>
        <b/>
        <sz val="10"/>
        <color theme="1"/>
        <rFont val="Arial"/>
        <family val="2"/>
      </rPr>
      <t xml:space="preserve">
x=3</t>
    </r>
    <r>
      <rPr>
        <sz val="10"/>
        <color theme="1"/>
        <rFont val="Arial"/>
        <family val="2"/>
      </rPr>
      <t xml:space="preserve"> -&gt; Prozessentwicklung wird terminlich bis C-Muster/QG2 abgeschlossen mit Budgeteinhaltung
</t>
    </r>
    <r>
      <rPr>
        <b/>
        <sz val="10"/>
        <color theme="1"/>
        <rFont val="Arial"/>
        <family val="2"/>
      </rPr>
      <t xml:space="preserve">
x=2</t>
    </r>
    <r>
      <rPr>
        <sz val="10"/>
        <color theme="1"/>
        <rFont val="Arial"/>
        <family val="2"/>
      </rPr>
      <t xml:space="preserve">-&gt; Prozessentwicklung wird terminlich bis D-Muster abgeschlossen mit Budgeteinhaltung
</t>
    </r>
    <r>
      <rPr>
        <b/>
        <sz val="10"/>
        <color theme="1"/>
        <rFont val="Arial"/>
        <family val="2"/>
      </rPr>
      <t>x=1</t>
    </r>
    <r>
      <rPr>
        <sz val="10"/>
        <color theme="1"/>
        <rFont val="Arial"/>
        <family val="2"/>
      </rPr>
      <t xml:space="preserve"> -&gt; Prozessentiwkclung könnte terminlich erst nach D-Muster abgeschlossen sein mit evtl. Budgetüberschreitung
die Bewertung für Gesamtrisiko für Serie ergibt sich durch den Vergleich von No.27 und No.28. 
No.27 gibt den Reifegrad von existierenden Prozessen an, während No.28 die Wahrscheinlichkeit für die Risikodeckung durch Prozessentwicklung angibt. 
D.h. wenn ProzessReifegrad für Serie = 1, jedoch der Reifegrad für Prozessentwicklung = 3 deutet zwar auf eine hohe Risiken ein, diese kann jedoch durch Prozessentwicklung gut gedeckt werden. Dies ist daher weniger kritisch als der Fall wenn beide Reifegrad = 1 wären.</t>
    </r>
  </si>
  <si>
    <t>Englisch</t>
  </si>
  <si>
    <t>Zeile in Prozess Reifegrad Bewertunbg</t>
  </si>
  <si>
    <t>DropDown-Menü</t>
  </si>
  <si>
    <t>Date</t>
  </si>
  <si>
    <t>Responsible</t>
  </si>
  <si>
    <t>No.</t>
  </si>
  <si>
    <t>initial creation</t>
  </si>
  <si>
    <t>Chao Xie</t>
  </si>
  <si>
    <t>Changed Content</t>
  </si>
  <si>
    <t>Change reason</t>
  </si>
  <si>
    <t>Prozess</t>
  </si>
  <si>
    <t>Process Risk Assesment</t>
  </si>
  <si>
    <t>Language:</t>
  </si>
  <si>
    <t>Autor:</t>
  </si>
  <si>
    <t>FIXED-TERM Kodihalli Basavarajappa Ranjith (C/MPE)</t>
  </si>
  <si>
    <t>Letztes Update:</t>
  </si>
  <si>
    <t>14.09.2017  (15:01)</t>
  </si>
  <si>
    <t>C/MPE Simultaneous Engineering</t>
  </si>
  <si>
    <t>FIXED-TERM Widmann Nico (C/MPE)      |      10.11.2017  (16:21)      |      \\FE02FS22.de.bosch.com\CMPE_Praktikanten$\Widmann\Tool_Optimization\001_In_Progress\Process Risk Assessment\20171108_Update PRA_V1.6.xlsm</t>
  </si>
  <si>
    <t>process 3</t>
  </si>
  <si>
    <t>process 4</t>
  </si>
  <si>
    <t>process 5</t>
  </si>
  <si>
    <t>process 6</t>
  </si>
  <si>
    <t>process 7</t>
  </si>
  <si>
    <t>process 8</t>
  </si>
  <si>
    <t>process 9</t>
  </si>
  <si>
    <t>process 10</t>
  </si>
  <si>
    <t>process 11</t>
  </si>
  <si>
    <t>process 12</t>
  </si>
  <si>
    <t>process 13</t>
  </si>
  <si>
    <t>process 14</t>
  </si>
  <si>
    <t>process 15</t>
  </si>
  <si>
    <t>process 16</t>
  </si>
  <si>
    <t>process 17</t>
  </si>
  <si>
    <t>process 18</t>
  </si>
  <si>
    <t>process 19</t>
  </si>
  <si>
    <t>process 20</t>
  </si>
  <si>
    <t>process 21</t>
  </si>
  <si>
    <t>process 22</t>
  </si>
  <si>
    <t>process 23</t>
  </si>
  <si>
    <t>process 24</t>
  </si>
  <si>
    <t>process 25</t>
  </si>
  <si>
    <t>process 26</t>
  </si>
  <si>
    <t>process 27</t>
  </si>
  <si>
    <t>process 28</t>
  </si>
  <si>
    <t>process 29</t>
  </si>
  <si>
    <t>process 30</t>
  </si>
  <si>
    <t>process 31</t>
  </si>
  <si>
    <t>process 32</t>
  </si>
  <si>
    <t>process 33</t>
  </si>
  <si>
    <t>process 34</t>
  </si>
  <si>
    <t>process 35</t>
  </si>
  <si>
    <t>process 36</t>
  </si>
  <si>
    <t>process 37</t>
  </si>
  <si>
    <t>process 38</t>
  </si>
  <si>
    <t>process 39</t>
  </si>
  <si>
    <t>process 40</t>
  </si>
  <si>
    <t>Project Name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</si>
</sst>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dd/mm/yy;@"/>
  </numFmts>
  <fonts count="33" x14ac:knownFonts="1">
    <font>
      <sz val="10"/>
      <color theme="1"/>
      <name val="Arial"/>
      <family val="2"/>
    </font>
    <font>
      <b/>
      <sz val="10"/>
      <color theme="1"/>
      <name val="Arial"/>
      <family val="2"/>
    </font>
    <font>
      <sz val="10"/>
      <color theme="1"/>
      <name val="Bosch Office Sans"/>
      <family val="2"/>
    </font>
    <font>
      <b/>
      <sz val="9"/>
      <color indexed="81"/>
      <name val="Segoe UI"/>
      <family val="2"/>
    </font>
    <font>
      <sz val="9"/>
      <color indexed="81"/>
      <name val="Segoe UI"/>
      <family val="2"/>
    </font>
    <font>
      <u/>
      <sz val="9"/>
      <color indexed="81"/>
      <name val="Segoe UI"/>
      <family val="2"/>
    </font>
    <font>
      <sz val="15"/>
      <color theme="1"/>
      <name val="Arial"/>
      <family val="2"/>
    </font>
    <font>
      <sz val="10"/>
      <color theme="0"/>
      <name val="Arial"/>
      <family val="2"/>
    </font>
    <font>
      <sz val="20"/>
      <color theme="1"/>
      <name val="Arial"/>
      <family val="2"/>
    </font>
    <font>
      <sz val="10"/>
      <name val="Arial"/>
      <family val="2"/>
    </font>
    <font>
      <b/>
      <sz val="16"/>
      <color rgb="FF1F497D"/>
      <name val="Calibri"/>
      <family val="2"/>
    </font>
    <font>
      <sz val="10"/>
      <color rgb="FF000000"/>
      <name val="Segoe UI"/>
      <family val="2"/>
    </font>
    <font>
      <sz val="20"/>
      <color theme="3"/>
      <name val="Arial"/>
      <family val="2"/>
    </font>
    <font>
      <b/>
      <sz val="20"/>
      <color rgb="FF1F497D"/>
      <name val="Arial"/>
      <family val="2"/>
    </font>
    <font>
      <sz val="20"/>
      <color rgb="FF1F497D"/>
      <name val="Arial"/>
      <family val="2"/>
    </font>
    <font>
      <b/>
      <sz val="11"/>
      <color rgb="FF1F497D"/>
      <name val="Arial"/>
      <family val="2"/>
    </font>
    <font>
      <sz val="11"/>
      <name val="Arial"/>
      <family val="2"/>
    </font>
    <font>
      <sz val="20"/>
      <color theme="0" tint="-0.499984740745262"/>
      <name val="Arial"/>
      <family val="2"/>
    </font>
    <font>
      <sz val="11"/>
      <color theme="5" tint="-0.249977111117893"/>
      <name val="Arial"/>
      <family val="2"/>
    </font>
    <font>
      <sz val="20"/>
      <color theme="1" tint="0.499984740745262"/>
      <name val="Arial"/>
      <family val="2"/>
    </font>
    <font>
      <b/>
      <sz val="11"/>
      <color rgb="FF1F4B7D"/>
      <name val="Arial"/>
      <family val="2"/>
    </font>
    <font>
      <sz val="11"/>
      <color theme="1"/>
      <name val="Calibri"/>
      <family val="2"/>
      <scheme val="minor"/>
    </font>
    <font>
      <sz val="18"/>
      <color theme="3"/>
      <name val="Lucida Sans"/>
      <family val="2"/>
    </font>
    <font>
      <b/>
      <sz val="16"/>
      <color theme="3"/>
      <name val="Calibri"/>
      <family val="2"/>
      <scheme val="minor"/>
    </font>
    <font>
      <sz val="8"/>
      <name val="Arial"/>
      <family val="2"/>
    </font>
    <font>
      <sz val="10"/>
      <name val="Lucida Sans"/>
      <family val="2"/>
    </font>
    <font>
      <b/>
      <sz val="10"/>
      <color rgb="FF1F4B7D"/>
      <name val="Arial"/>
      <family val="2"/>
    </font>
    <font>
      <sz val="10"/>
      <color rgb="FF1F4B7D"/>
      <name val="Arial"/>
      <family val="2"/>
    </font>
    <font>
      <sz val="10"/>
      <color theme="3"/>
      <name val="Arial"/>
      <family val="2"/>
    </font>
    <font>
      <b/>
      <sz val="10"/>
      <color rgb="FF1F497D"/>
      <name val="Arial"/>
      <family val="2"/>
    </font>
    <font>
      <u/>
      <sz val="10"/>
      <color theme="10"/>
      <name val="Arial"/>
      <family val="2"/>
    </font>
    <font>
      <sz val="15"/>
      <name val="Arial"/>
      <family val="2"/>
    </font>
    <font>
      <b/>
      <sz val="9"/>
      <color theme="1"/>
      <name val="Arial"/>
      <family val="2"/>
    </font>
  </fonts>
  <fills count="10">
    <fill>
      <patternFill patternType="none"/>
    </fill>
    <fill>
      <patternFill patternType="gray125"/>
    </fill>
    <fill>
      <patternFill patternType="solid">
        <fgColor rgb="FFFF0000"/>
        <bgColor indexed="64"/>
      </patternFill>
    </fill>
    <fill>
      <patternFill patternType="solid">
        <fgColor rgb="FFFFC000"/>
        <bgColor indexed="64"/>
      </patternFill>
    </fill>
    <fill>
      <patternFill patternType="solid">
        <fgColor theme="0" tint="-0.14999847407452621"/>
        <bgColor indexed="64"/>
      </patternFill>
    </fill>
    <fill>
      <patternFill patternType="solid">
        <fgColor rgb="FFFF7C80"/>
        <bgColor indexed="64"/>
      </patternFill>
    </fill>
    <fill>
      <patternFill patternType="solid">
        <fgColor theme="7" tint="0.59999389629810485"/>
        <bgColor indexed="64"/>
      </patternFill>
    </fill>
    <fill>
      <patternFill patternType="solid">
        <fgColor theme="1"/>
        <bgColor indexed="64"/>
      </patternFill>
    </fill>
    <fill>
      <patternFill patternType="solid">
        <fgColor theme="9" tint="0.59999389629810485"/>
        <bgColor indexed="64"/>
      </patternFill>
    </fill>
    <fill>
      <patternFill patternType="solid">
        <fgColor theme="0"/>
        <bgColor indexed="64"/>
      </patternFill>
    </fill>
  </fills>
  <borders count="24">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
      <left style="medium">
        <color indexed="64"/>
      </left>
      <right/>
      <top/>
      <bottom/>
      <diagonal/>
    </border>
    <border>
      <left/>
      <right/>
      <top/>
      <bottom style="medium">
        <color theme="3"/>
      </bottom>
      <diagonal/>
    </border>
    <border>
      <left/>
      <right style="thin">
        <color theme="0" tint="-0.14993743705557422"/>
      </right>
      <top style="thin">
        <color theme="0" tint="-0.14993743705557422"/>
      </top>
      <bottom style="thin">
        <color theme="0" tint="-0.14993743705557422"/>
      </bottom>
      <diagonal/>
    </border>
  </borders>
  <cellStyleXfs count="5">
    <xf numFmtId="0" fontId="0" fillId="0" borderId="0"/>
    <xf numFmtId="0" fontId="9" fillId="0" borderId="0"/>
    <xf numFmtId="0" fontId="21" fillId="0" borderId="0"/>
    <xf numFmtId="0" fontId="24" fillId="0" borderId="0">
      <alignment vertical="center"/>
    </xf>
    <xf numFmtId="0" fontId="30" fillId="0" borderId="0" applyNumberFormat="0" applyFill="0" applyBorder="0" applyAlignment="0" applyProtection="0"/>
  </cellStyleXfs>
  <cellXfs count="131">
    <xf numFmtId="0" fontId="0" fillId="0" borderId="0" xfId="0"/>
    <xf numFmtId="0" fontId="0" fillId="0" borderId="0" xfId="0" applyAlignment="1">
      <alignment horizontal="center"/>
    </xf>
    <xf numFmtId="0" fontId="0" fillId="0" borderId="4" xfId="0" applyBorder="1"/>
    <xf numFmtId="0" fontId="0" fillId="0" borderId="18" xfId="0" applyBorder="1"/>
    <xf numFmtId="0" fontId="1" fillId="0" borderId="1" xfId="0" applyFont="1" applyBorder="1" applyAlignment="1">
      <alignment horizontal="center" vertical="center" wrapText="1"/>
    </xf>
    <xf numFmtId="0" fontId="1" fillId="0" borderId="2" xfId="0" applyFont="1" applyBorder="1" applyAlignment="1">
      <alignment horizontal="center" vertical="center" wrapText="1"/>
    </xf>
    <xf numFmtId="0" fontId="1" fillId="0" borderId="15" xfId="0" applyFont="1" applyBorder="1" applyAlignment="1">
      <alignment horizontal="center" vertical="center"/>
    </xf>
    <xf numFmtId="0" fontId="1" fillId="0" borderId="0" xfId="0" applyFont="1" applyAlignment="1">
      <alignment horizontal="center"/>
    </xf>
    <xf numFmtId="0" fontId="0" fillId="0" borderId="3" xfId="0" applyBorder="1" applyAlignment="1">
      <alignment horizontal="left" vertical="center" wrapText="1"/>
    </xf>
    <xf numFmtId="0" fontId="0" fillId="0" borderId="4" xfId="0" applyBorder="1" applyAlignment="1">
      <alignment vertical="center"/>
    </xf>
    <xf numFmtId="0" fontId="0" fillId="0" borderId="17" xfId="0" applyBorder="1" applyAlignment="1">
      <alignment vertical="center"/>
    </xf>
    <xf numFmtId="0" fontId="0" fillId="0" borderId="17" xfId="0" applyBorder="1" applyAlignment="1">
      <alignment vertical="center" wrapText="1"/>
    </xf>
    <xf numFmtId="0" fontId="0" fillId="0" borderId="3" xfId="0" applyBorder="1" applyAlignment="1">
      <alignment vertical="center" wrapText="1"/>
    </xf>
    <xf numFmtId="0" fontId="0" fillId="0" borderId="3" xfId="0" applyBorder="1" applyAlignment="1">
      <alignment horizontal="center" vertical="center" wrapText="1"/>
    </xf>
    <xf numFmtId="0" fontId="0" fillId="0" borderId="4" xfId="0" applyFill="1" applyBorder="1" applyAlignment="1">
      <alignment vertical="center"/>
    </xf>
    <xf numFmtId="0" fontId="0" fillId="0" borderId="17" xfId="0" applyBorder="1" applyAlignment="1">
      <alignment horizontal="left" vertical="center" wrapText="1"/>
    </xf>
    <xf numFmtId="0" fontId="0" fillId="0" borderId="12" xfId="0" applyBorder="1" applyAlignment="1">
      <alignment horizontal="center" vertical="center" wrapText="1"/>
    </xf>
    <xf numFmtId="0" fontId="0" fillId="0" borderId="13" xfId="0" applyFill="1" applyBorder="1" applyAlignment="1">
      <alignment vertical="center"/>
    </xf>
    <xf numFmtId="0" fontId="0" fillId="0" borderId="16" xfId="0" applyBorder="1" applyAlignment="1">
      <alignment vertical="center" wrapText="1"/>
    </xf>
    <xf numFmtId="0" fontId="0" fillId="0" borderId="0" xfId="0" applyAlignment="1">
      <alignment wrapText="1"/>
    </xf>
    <xf numFmtId="0" fontId="0" fillId="5" borderId="18" xfId="0" applyFill="1" applyBorder="1"/>
    <xf numFmtId="0" fontId="0" fillId="6" borderId="18" xfId="0" applyFill="1" applyBorder="1"/>
    <xf numFmtId="0" fontId="0" fillId="8" borderId="18" xfId="0" applyFill="1" applyBorder="1"/>
    <xf numFmtId="0" fontId="8" fillId="0" borderId="18" xfId="0" applyFont="1" applyBorder="1"/>
    <xf numFmtId="0" fontId="6" fillId="0" borderId="19" xfId="0" applyFont="1" applyBorder="1" applyAlignment="1">
      <alignment vertical="center"/>
    </xf>
    <xf numFmtId="0" fontId="7" fillId="0" borderId="17" xfId="0" applyFont="1" applyBorder="1" applyAlignment="1">
      <alignment vertical="center"/>
    </xf>
    <xf numFmtId="0" fontId="0" fillId="7" borderId="0" xfId="0" applyFill="1"/>
    <xf numFmtId="0" fontId="0" fillId="7" borderId="0" xfId="0" applyFill="1" applyAlignment="1">
      <alignment wrapText="1"/>
    </xf>
    <xf numFmtId="0" fontId="0" fillId="0" borderId="20" xfId="0" applyBorder="1"/>
    <xf numFmtId="0" fontId="0" fillId="0" borderId="19" xfId="0" applyFill="1" applyBorder="1" applyAlignment="1">
      <alignment vertical="center"/>
    </xf>
    <xf numFmtId="0" fontId="0" fillId="0" borderId="4" xfId="0" applyBorder="1" applyAlignment="1">
      <alignment horizontal="center"/>
    </xf>
    <xf numFmtId="14" fontId="0" fillId="0" borderId="4" xfId="0" applyNumberFormat="1" applyBorder="1" applyAlignment="1">
      <alignment horizontal="center"/>
    </xf>
    <xf numFmtId="0" fontId="1" fillId="0" borderId="4" xfId="0" applyFont="1" applyBorder="1" applyAlignment="1">
      <alignment horizontal="center"/>
    </xf>
    <xf numFmtId="0" fontId="1" fillId="0" borderId="0" xfId="0" applyFont="1"/>
    <xf numFmtId="0" fontId="9" fillId="9" borderId="0" xfId="1" applyFill="1"/>
    <xf numFmtId="0" fontId="9" fillId="0" borderId="0" xfId="1"/>
    <xf numFmtId="0" fontId="11" fillId="0" borderId="0" xfId="0" applyFont="1" applyAlignment="1">
      <alignment vertical="center"/>
    </xf>
    <xf numFmtId="0" fontId="12" fillId="0" borderId="0" xfId="1" applyFont="1" applyAlignment="1">
      <alignment horizontal="left"/>
    </xf>
    <xf numFmtId="0" fontId="13" fillId="0" borderId="0" xfId="1" applyFont="1" applyAlignment="1">
      <alignment wrapText="1"/>
    </xf>
    <xf numFmtId="0" fontId="9" fillId="0" borderId="0" xfId="1" applyFont="1"/>
    <xf numFmtId="0" fontId="7" fillId="0" borderId="0" xfId="1" applyFont="1"/>
    <xf numFmtId="0" fontId="15" fillId="0" borderId="0" xfId="1" applyFont="1" applyAlignment="1">
      <alignment wrapText="1"/>
    </xf>
    <xf numFmtId="0" fontId="16" fillId="0" borderId="0" xfId="1" applyFont="1"/>
    <xf numFmtId="0" fontId="9" fillId="0" borderId="22" xfId="1" applyBorder="1"/>
    <xf numFmtId="0" fontId="18" fillId="0" borderId="0" xfId="1" applyFont="1"/>
    <xf numFmtId="0" fontId="18" fillId="0" borderId="0" xfId="1" applyFont="1" applyAlignment="1">
      <alignment horizontal="center"/>
    </xf>
    <xf numFmtId="0" fontId="12" fillId="0" borderId="0" xfId="1" applyFont="1" applyBorder="1" applyAlignment="1"/>
    <xf numFmtId="0" fontId="20" fillId="0" borderId="0" xfId="1" applyFont="1" applyAlignment="1">
      <alignment horizontal="center"/>
    </xf>
    <xf numFmtId="0" fontId="9" fillId="0" borderId="0" xfId="1" applyAlignment="1">
      <alignment horizontal="center"/>
    </xf>
    <xf numFmtId="0" fontId="9" fillId="0" borderId="0" xfId="1" applyFont="1" applyAlignment="1">
      <alignment horizontal="center"/>
    </xf>
    <xf numFmtId="0" fontId="22" fillId="0" borderId="0" xfId="2" applyFont="1" applyAlignment="1">
      <alignment vertical="center"/>
    </xf>
    <xf numFmtId="0" fontId="23" fillId="0" borderId="0" xfId="1" applyFont="1"/>
    <xf numFmtId="14" fontId="23" fillId="0" borderId="0" xfId="1" applyNumberFormat="1" applyFont="1"/>
    <xf numFmtId="0" fontId="24" fillId="0" borderId="0" xfId="2" applyFont="1" applyAlignment="1">
      <alignment vertical="center"/>
    </xf>
    <xf numFmtId="0" fontId="25" fillId="0" borderId="0" xfId="2" applyFont="1" applyAlignment="1">
      <alignment horizontal="left" vertical="center"/>
    </xf>
    <xf numFmtId="0" fontId="25" fillId="0" borderId="0" xfId="2" applyFont="1" applyAlignment="1">
      <alignment vertical="center"/>
    </xf>
    <xf numFmtId="0" fontId="14" fillId="0" borderId="0" xfId="1" applyFont="1"/>
    <xf numFmtId="164" fontId="25" fillId="0" borderId="0" xfId="2" applyNumberFormat="1" applyFont="1" applyAlignment="1">
      <alignment vertical="center"/>
    </xf>
    <xf numFmtId="14" fontId="10" fillId="0" borderId="0" xfId="1" applyNumberFormat="1" applyFont="1" applyAlignment="1">
      <alignment horizontal="left"/>
    </xf>
    <xf numFmtId="0" fontId="24" fillId="0" borderId="0" xfId="3" applyAlignment="1"/>
    <xf numFmtId="0" fontId="27" fillId="0" borderId="0" xfId="2" applyFont="1" applyAlignment="1">
      <alignment horizontal="left" vertical="center"/>
    </xf>
    <xf numFmtId="0" fontId="28" fillId="0" borderId="0" xfId="2" applyFont="1" applyFill="1" applyAlignment="1" applyProtection="1">
      <alignment horizontal="left" vertical="center"/>
      <protection locked="0"/>
    </xf>
    <xf numFmtId="0" fontId="7" fillId="0" borderId="0" xfId="1" applyFont="1" applyBorder="1" applyAlignment="1">
      <alignment horizontal="left"/>
    </xf>
    <xf numFmtId="14" fontId="27" fillId="0" borderId="0" xfId="1" applyNumberFormat="1" applyFont="1" applyAlignment="1">
      <alignment horizontal="left"/>
    </xf>
    <xf numFmtId="14" fontId="27" fillId="0" borderId="0" xfId="1" applyNumberFormat="1" applyFont="1" applyAlignment="1"/>
    <xf numFmtId="0" fontId="7" fillId="0" borderId="0" xfId="1" applyFont="1" applyAlignment="1">
      <alignment horizontal="center"/>
    </xf>
    <xf numFmtId="0" fontId="9" fillId="0" borderId="0" xfId="1" applyBorder="1"/>
    <xf numFmtId="0" fontId="9" fillId="0" borderId="23" xfId="1" applyBorder="1"/>
    <xf numFmtId="0" fontId="29" fillId="0" borderId="0" xfId="2" applyFont="1" applyFill="1" applyAlignment="1">
      <alignment vertical="center"/>
    </xf>
    <xf numFmtId="0" fontId="29" fillId="0" borderId="0" xfId="2" applyFont="1" applyAlignment="1">
      <alignment vertical="center"/>
    </xf>
    <xf numFmtId="0" fontId="31" fillId="0" borderId="0" xfId="4" applyFont="1" applyAlignment="1">
      <alignment vertical="center"/>
    </xf>
    <xf numFmtId="0" fontId="26" fillId="0" borderId="0" xfId="2" applyFont="1" applyFill="1" applyBorder="1" applyAlignment="1">
      <alignment horizontal="left" vertical="center"/>
    </xf>
    <xf numFmtId="0" fontId="10" fillId="0" borderId="0" xfId="1" applyFont="1" applyAlignment="1">
      <alignment horizontal="center"/>
    </xf>
    <xf numFmtId="0" fontId="14" fillId="0" borderId="0" xfId="1" applyFont="1" applyBorder="1" applyAlignment="1">
      <alignment horizontal="left"/>
    </xf>
    <xf numFmtId="0" fontId="17" fillId="0" borderId="0" xfId="1" applyFont="1" applyAlignment="1">
      <alignment horizontal="left"/>
    </xf>
    <xf numFmtId="0" fontId="19" fillId="0" borderId="0" xfId="1" applyFont="1" applyBorder="1" applyAlignment="1">
      <alignment horizontal="left"/>
    </xf>
    <xf numFmtId="0" fontId="0" fillId="0" borderId="18" xfId="0" applyBorder="1" applyProtection="1"/>
    <xf numFmtId="0" fontId="0" fillId="0" borderId="0" xfId="0" applyBorder="1" applyProtection="1">
      <protection locked="0"/>
    </xf>
    <xf numFmtId="0" fontId="0" fillId="0" borderId="0" xfId="0" applyProtection="1">
      <protection locked="0"/>
    </xf>
    <xf numFmtId="0" fontId="32" fillId="0" borderId="0" xfId="0" applyFont="1" applyAlignment="1" applyProtection="1">
      <alignment horizontal="left" vertical="center" wrapText="1" indent="19"/>
      <protection locked="0"/>
    </xf>
    <xf numFmtId="0" fontId="1" fillId="0" borderId="0" xfId="0" applyFont="1" applyAlignment="1" applyProtection="1">
      <alignment horizontal="center" vertical="center"/>
      <protection locked="0"/>
    </xf>
    <xf numFmtId="0" fontId="0" fillId="0" borderId="21" xfId="0" applyFont="1" applyBorder="1" applyAlignment="1" applyProtection="1">
      <alignment horizontal="left" vertical="center"/>
      <protection locked="0"/>
    </xf>
    <xf numFmtId="0" fontId="6" fillId="0" borderId="0" xfId="0" applyFont="1" applyBorder="1" applyAlignment="1" applyProtection="1">
      <alignment horizontal="center" vertical="center"/>
      <protection locked="0"/>
    </xf>
    <xf numFmtId="0" fontId="6" fillId="0" borderId="0" xfId="0" applyFont="1" applyBorder="1" applyAlignment="1" applyProtection="1">
      <alignment vertical="center"/>
      <protection locked="0"/>
    </xf>
    <xf numFmtId="0" fontId="0" fillId="0" borderId="1" xfId="0" applyBorder="1" applyAlignment="1" applyProtection="1">
      <alignment horizontal="center" vertical="center"/>
      <protection locked="0"/>
    </xf>
    <xf numFmtId="0" fontId="0" fillId="0" borderId="2" xfId="0" applyBorder="1" applyAlignment="1" applyProtection="1">
      <alignment horizontal="center" vertical="center" wrapText="1"/>
      <protection locked="0"/>
    </xf>
    <xf numFmtId="0" fontId="0" fillId="0" borderId="2" xfId="0" applyBorder="1" applyAlignment="1" applyProtection="1">
      <alignment horizontal="center" vertical="center" wrapText="1"/>
      <protection locked="0"/>
    </xf>
    <xf numFmtId="0" fontId="0" fillId="0" borderId="2" xfId="0" applyBorder="1" applyAlignment="1" applyProtection="1">
      <alignment horizontal="center" vertical="center"/>
      <protection locked="0"/>
    </xf>
    <xf numFmtId="0" fontId="0" fillId="0" borderId="2" xfId="0" applyBorder="1" applyAlignment="1" applyProtection="1">
      <alignment horizontal="center"/>
      <protection locked="0"/>
    </xf>
    <xf numFmtId="0" fontId="0" fillId="0" borderId="3" xfId="0" applyBorder="1" applyAlignment="1" applyProtection="1">
      <alignment horizontal="center" vertical="center"/>
      <protection locked="0"/>
    </xf>
    <xf numFmtId="0" fontId="0" fillId="0" borderId="4" xfId="0" applyBorder="1" applyAlignment="1" applyProtection="1">
      <alignment horizontal="center" vertical="center" wrapText="1"/>
      <protection locked="0"/>
    </xf>
    <xf numFmtId="0" fontId="0" fillId="0" borderId="4" xfId="0" applyBorder="1" applyAlignment="1" applyProtection="1">
      <alignment horizontal="center" vertical="center" wrapText="1"/>
      <protection locked="0"/>
    </xf>
    <xf numFmtId="0" fontId="0" fillId="0" borderId="4" xfId="0" applyBorder="1" applyAlignment="1" applyProtection="1">
      <alignment horizontal="center" vertical="center"/>
      <protection locked="0"/>
    </xf>
    <xf numFmtId="0" fontId="0" fillId="0" borderId="4" xfId="0" applyBorder="1" applyProtection="1">
      <protection locked="0"/>
    </xf>
    <xf numFmtId="0" fontId="0" fillId="0" borderId="4" xfId="0" applyBorder="1" applyAlignment="1" applyProtection="1">
      <alignment horizontal="left" vertical="center" wrapText="1"/>
      <protection locked="0"/>
    </xf>
    <xf numFmtId="0" fontId="0" fillId="0" borderId="4" xfId="0" applyFont="1" applyFill="1" applyBorder="1" applyAlignment="1" applyProtection="1">
      <alignment horizontal="center" vertical="center" wrapText="1"/>
      <protection locked="0"/>
    </xf>
    <xf numFmtId="0" fontId="0" fillId="0" borderId="4" xfId="0" applyFill="1" applyBorder="1" applyAlignment="1" applyProtection="1">
      <alignment horizontal="center" vertical="center"/>
      <protection locked="0"/>
    </xf>
    <xf numFmtId="0" fontId="0" fillId="0" borderId="4" xfId="0" applyBorder="1" applyAlignment="1" applyProtection="1">
      <alignment horizontal="center" vertical="center"/>
      <protection locked="0"/>
    </xf>
    <xf numFmtId="0" fontId="0" fillId="0" borderId="5" xfId="0" applyBorder="1" applyAlignment="1" applyProtection="1">
      <alignment horizontal="center" vertical="center" wrapText="1"/>
      <protection locked="0"/>
    </xf>
    <xf numFmtId="0" fontId="0" fillId="0" borderId="6" xfId="0" applyBorder="1" applyAlignment="1" applyProtection="1">
      <alignment horizontal="center" vertical="center" wrapText="1"/>
      <protection locked="0"/>
    </xf>
    <xf numFmtId="0" fontId="0" fillId="0" borderId="7" xfId="0" applyBorder="1" applyAlignment="1" applyProtection="1">
      <alignment horizontal="center" vertical="center" wrapText="1"/>
      <protection locked="0"/>
    </xf>
    <xf numFmtId="0" fontId="0" fillId="0" borderId="8" xfId="0" applyBorder="1" applyAlignment="1" applyProtection="1">
      <alignment horizontal="center" vertical="center" wrapText="1"/>
      <protection locked="0"/>
    </xf>
    <xf numFmtId="0" fontId="0" fillId="0" borderId="4" xfId="0" applyFill="1" applyBorder="1" applyAlignment="1" applyProtection="1">
      <alignment horizontal="center" vertical="center" wrapText="1"/>
      <protection locked="0"/>
    </xf>
    <xf numFmtId="0" fontId="0" fillId="0" borderId="9" xfId="0" applyFill="1" applyBorder="1" applyAlignment="1" applyProtection="1">
      <alignment horizontal="center" vertical="center" wrapText="1"/>
      <protection locked="0"/>
    </xf>
    <xf numFmtId="0" fontId="0" fillId="0" borderId="9" xfId="0" applyFill="1" applyBorder="1" applyAlignment="1" applyProtection="1">
      <alignment horizontal="center" vertical="center"/>
      <protection locked="0"/>
    </xf>
    <xf numFmtId="0" fontId="0" fillId="0" borderId="10" xfId="0" applyBorder="1" applyAlignment="1" applyProtection="1">
      <alignment horizontal="center" vertical="center" wrapText="1"/>
      <protection locked="0"/>
    </xf>
    <xf numFmtId="0" fontId="0" fillId="0" borderId="11" xfId="0" applyBorder="1" applyAlignment="1" applyProtection="1">
      <alignment horizontal="center" vertical="center" wrapText="1"/>
      <protection locked="0"/>
    </xf>
    <xf numFmtId="0" fontId="0" fillId="0" borderId="9" xfId="0" applyFont="1" applyFill="1" applyBorder="1" applyAlignment="1" applyProtection="1">
      <alignment horizontal="center" vertical="center" wrapText="1"/>
      <protection locked="0"/>
    </xf>
    <xf numFmtId="0" fontId="0" fillId="0" borderId="12" xfId="0" applyBorder="1" applyAlignment="1" applyProtection="1">
      <alignment horizontal="center" vertical="center"/>
      <protection locked="0"/>
    </xf>
    <xf numFmtId="0" fontId="0" fillId="0" borderId="14" xfId="0" applyBorder="1" applyAlignment="1" applyProtection="1">
      <alignment horizontal="center" vertical="center"/>
      <protection locked="0"/>
    </xf>
    <xf numFmtId="0" fontId="0" fillId="0" borderId="0" xfId="0" applyBorder="1" applyAlignment="1" applyProtection="1">
      <alignment horizontal="center" vertical="center"/>
      <protection locked="0"/>
    </xf>
    <xf numFmtId="0" fontId="0" fillId="0" borderId="14" xfId="0" applyBorder="1" applyAlignment="1" applyProtection="1">
      <alignment horizontal="left" vertical="center"/>
      <protection locked="0"/>
    </xf>
    <xf numFmtId="0" fontId="1" fillId="4" borderId="2" xfId="0" applyFont="1" applyFill="1" applyBorder="1" applyAlignment="1" applyProtection="1">
      <alignment horizontal="center" vertical="center" wrapText="1"/>
      <protection locked="0"/>
    </xf>
    <xf numFmtId="0" fontId="1" fillId="4" borderId="15" xfId="0" applyFont="1" applyFill="1" applyBorder="1" applyAlignment="1" applyProtection="1">
      <alignment horizontal="center" vertical="center" wrapText="1"/>
      <protection locked="0"/>
    </xf>
    <xf numFmtId="0" fontId="0" fillId="0" borderId="0" xfId="0" applyAlignment="1" applyProtection="1">
      <alignment vertical="center"/>
      <protection locked="0"/>
    </xf>
    <xf numFmtId="0" fontId="1" fillId="4" borderId="13" xfId="0" applyFont="1" applyFill="1" applyBorder="1" applyAlignment="1" applyProtection="1">
      <alignment horizontal="center" vertical="center" wrapText="1"/>
      <protection locked="0"/>
    </xf>
    <xf numFmtId="0" fontId="1" fillId="4" borderId="16" xfId="0" applyFont="1" applyFill="1" applyBorder="1" applyAlignment="1" applyProtection="1">
      <alignment horizontal="center" vertical="center" wrapText="1"/>
      <protection locked="0"/>
    </xf>
    <xf numFmtId="0" fontId="0" fillId="0" borderId="0" xfId="0" applyAlignment="1" applyProtection="1">
      <alignment horizontal="center"/>
      <protection locked="0"/>
    </xf>
    <xf numFmtId="0" fontId="0" fillId="0" borderId="1" xfId="0" applyBorder="1" applyAlignment="1" applyProtection="1">
      <alignment horizontal="center" vertical="center"/>
    </xf>
    <xf numFmtId="0" fontId="0" fillId="0" borderId="2" xfId="0" applyBorder="1" applyAlignment="1" applyProtection="1">
      <alignment horizontal="center" vertical="center"/>
    </xf>
    <xf numFmtId="0" fontId="0" fillId="0" borderId="2" xfId="0" applyBorder="1" applyAlignment="1" applyProtection="1">
      <alignment horizontal="center" vertical="center" wrapText="1"/>
    </xf>
    <xf numFmtId="0" fontId="0" fillId="0" borderId="2" xfId="0" applyBorder="1" applyAlignment="1" applyProtection="1">
      <alignment horizontal="center" vertical="center"/>
    </xf>
    <xf numFmtId="0" fontId="0" fillId="0" borderId="0" xfId="0" applyProtection="1"/>
    <xf numFmtId="0" fontId="0" fillId="0" borderId="3" xfId="0" applyBorder="1" applyAlignment="1" applyProtection="1">
      <alignment horizontal="center" vertical="center"/>
    </xf>
    <xf numFmtId="0" fontId="0" fillId="0" borderId="4" xfId="0" applyBorder="1" applyAlignment="1" applyProtection="1">
      <alignment horizontal="center" vertical="center"/>
    </xf>
    <xf numFmtId="0" fontId="0" fillId="0" borderId="4" xfId="0" applyBorder="1" applyAlignment="1" applyProtection="1">
      <alignment horizontal="center" vertical="center"/>
    </xf>
    <xf numFmtId="0" fontId="0" fillId="2" borderId="4" xfId="0" applyFill="1" applyBorder="1" applyAlignment="1" applyProtection="1">
      <alignment horizontal="center" vertical="center"/>
    </xf>
    <xf numFmtId="0" fontId="0" fillId="0" borderId="12" xfId="0" applyBorder="1" applyAlignment="1" applyProtection="1">
      <alignment horizontal="center" vertical="center"/>
    </xf>
    <xf numFmtId="0" fontId="0" fillId="0" borderId="13" xfId="0" applyBorder="1" applyAlignment="1" applyProtection="1">
      <alignment horizontal="center" vertical="center"/>
    </xf>
    <xf numFmtId="0" fontId="0" fillId="0" borderId="13" xfId="0" applyBorder="1" applyAlignment="1" applyProtection="1">
      <alignment horizontal="center" vertical="center"/>
    </xf>
    <xf numFmtId="0" fontId="0" fillId="3" borderId="13" xfId="0" applyFill="1" applyBorder="1" applyAlignment="1" applyProtection="1">
      <alignment horizontal="center" vertical="center"/>
    </xf>
  </cellXfs>
  <cellStyles count="5">
    <cellStyle name="Hyperlink" xfId="4" builtinId="8"/>
    <cellStyle name="Normal" xfId="0" builtinId="0"/>
    <cellStyle name="Normal 2" xfId="1"/>
    <cellStyle name="Normal 2 2" xfId="3"/>
    <cellStyle name="Normale 2" xfId="2"/>
  </cellStyles>
  <dxfs count="1196">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ont>
        <color theme="0"/>
      </font>
    </dxf>
    <dxf>
      <fill>
        <patternFill patternType="none">
          <bgColor auto="1"/>
        </patternFill>
      </fill>
    </dxf>
    <dxf>
      <fill>
        <patternFill patternType="none">
          <bgColor auto="1"/>
        </patternFill>
      </fill>
    </dxf>
    <dxf>
      <fill>
        <patternFill patternType="none">
          <bgColor auto="1"/>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
      <fill>
        <patternFill>
          <bgColor rgb="FFFF0000"/>
        </patternFill>
      </fill>
    </dxf>
    <dxf>
      <fill>
        <patternFill>
          <bgColor rgb="FFFFC000"/>
        </patternFill>
      </fill>
    </dxf>
    <dxf>
      <fill>
        <patternFill>
          <bgColor rgb="FF92D050"/>
        </patternFill>
      </fill>
    </dxf>
  </dxfs>
  <tableStyles count="0" defaultTableStyle="TableStyleMedium2" defaultPivotStyle="PivotStyleLight16"/>
  <colors>
    <mruColors>
      <color rgb="FF1F497D"/>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lineMarker"/>
        <c:varyColors val="0"/>
        <c:ser>
          <c:idx val="0"/>
          <c:order val="0"/>
          <c:tx>
            <c:strRef>
              <c:f>'Process evaluation sheet'!$E$4</c:f>
              <c:strCache>
                <c:ptCount val="1"/>
                <c:pt idx="0">
                  <c:v>1</c:v>
                </c:pt>
              </c:strCache>
            </c:strRef>
          </c:tx>
          <c:spPr>
            <a:ln w="25400" cap="rnd">
              <a:noFill/>
              <a:round/>
            </a:ln>
            <a:effectLst/>
          </c:spPr>
          <c:marker>
            <c:symbol val="circle"/>
            <c:size val="5"/>
            <c:spPr>
              <a:solidFill>
                <a:schemeClr val="accent1"/>
              </a:solidFill>
              <a:ln w="9525">
                <a:solidFill>
                  <a:schemeClr val="accent1"/>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sheet'!$E$29</c:f>
              <c:numCache>
                <c:formatCode>General</c:formatCode>
                <c:ptCount val="1"/>
                <c:pt idx="0">
                  <c:v>1</c:v>
                </c:pt>
              </c:numCache>
            </c:numRef>
          </c:xVal>
          <c:yVal>
            <c:numRef>
              <c:f>'Process evaluation sheet'!$E$30</c:f>
              <c:numCache>
                <c:formatCode>General</c:formatCode>
                <c:ptCount val="1"/>
                <c:pt idx="0">
                  <c:v>2</c:v>
                </c:pt>
              </c:numCache>
            </c:numRef>
          </c:yVal>
          <c:smooth val="0"/>
          <c:extLst>
            <c:ext xmlns:c16="http://schemas.microsoft.com/office/drawing/2014/chart" uri="{C3380CC4-5D6E-409C-BE32-E72D297353CC}">
              <c16:uniqueId val="{00000452-4CE0-4897-AD24-1E35C72F64CA}"/>
            </c:ext>
          </c:extLst>
        </c:ser>
        <c:ser>
          <c:idx val="1"/>
          <c:order val="1"/>
          <c:tx>
            <c:strRef>
              <c:f>'Process evaluation sheet'!$F$4</c:f>
              <c:strCache>
                <c:ptCount val="1"/>
                <c:pt idx="0">
                  <c:v>2</c:v>
                </c:pt>
              </c:strCache>
            </c:strRef>
          </c:tx>
          <c:spPr>
            <a:ln w="25400" cap="rnd">
              <a:noFill/>
              <a:round/>
            </a:ln>
            <a:effectLst/>
          </c:spPr>
          <c:marker>
            <c:symbol val="circle"/>
            <c:size val="5"/>
            <c:spPr>
              <a:solidFill>
                <a:schemeClr val="accent2"/>
              </a:solidFill>
              <a:ln w="9525">
                <a:solidFill>
                  <a:schemeClr val="accent2"/>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sheet'!$F$29</c:f>
              <c:numCache>
                <c:formatCode>General</c:formatCode>
                <c:ptCount val="1"/>
                <c:pt idx="0">
                  <c:v>2.6666666666666665</c:v>
                </c:pt>
              </c:numCache>
            </c:numRef>
          </c:xVal>
          <c:yVal>
            <c:numRef>
              <c:f>'Process evaluation sheet'!$F$30</c:f>
              <c:numCache>
                <c:formatCode>General</c:formatCode>
                <c:ptCount val="1"/>
                <c:pt idx="0">
                  <c:v>3</c:v>
                </c:pt>
              </c:numCache>
            </c:numRef>
          </c:yVal>
          <c:smooth val="0"/>
          <c:extLst>
            <c:ext xmlns:c16="http://schemas.microsoft.com/office/drawing/2014/chart" uri="{C3380CC4-5D6E-409C-BE32-E72D297353CC}">
              <c16:uniqueId val="{00000453-4CE0-4897-AD24-1E35C72F64CA}"/>
            </c:ext>
          </c:extLst>
        </c:ser>
        <c:ser>
          <c:idx val="2"/>
          <c:order val="2"/>
          <c:tx>
            <c:strRef>
              <c:f>'Process evaluation sheet'!$G$4</c:f>
              <c:strCache>
                <c:ptCount val="1"/>
                <c:pt idx="0">
                  <c:v>3</c:v>
                </c:pt>
              </c:strCache>
            </c:strRef>
          </c:tx>
          <c:spPr>
            <a:ln w="25400" cap="rnd">
              <a:noFill/>
              <a:round/>
            </a:ln>
            <a:effectLst/>
          </c:spPr>
          <c:marker>
            <c:symbol val="circle"/>
            <c:size val="5"/>
            <c:spPr>
              <a:solidFill>
                <a:schemeClr val="accent3"/>
              </a:solidFill>
              <a:ln w="9525">
                <a:solidFill>
                  <a:schemeClr val="accent3"/>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sheet'!$G$29</c:f>
              <c:numCache>
                <c:formatCode>General</c:formatCode>
                <c:ptCount val="1"/>
                <c:pt idx="0">
                  <c:v>3</c:v>
                </c:pt>
              </c:numCache>
            </c:numRef>
          </c:xVal>
          <c:yVal>
            <c:numRef>
              <c:f>'Process evaluation sheet'!$G$30</c:f>
              <c:numCache>
                <c:formatCode>General</c:formatCode>
                <c:ptCount val="1"/>
                <c:pt idx="0">
                  <c:v>0</c:v>
                </c:pt>
              </c:numCache>
            </c:numRef>
          </c:yVal>
          <c:smooth val="0"/>
          <c:extLst>
            <c:ext xmlns:c16="http://schemas.microsoft.com/office/drawing/2014/chart" uri="{C3380CC4-5D6E-409C-BE32-E72D297353CC}">
              <c16:uniqueId val="{00000454-4CE0-4897-AD24-1E35C72F64CA}"/>
            </c:ext>
          </c:extLst>
        </c:ser>
        <c:ser>
          <c:idx val="3"/>
          <c:order val="3"/>
          <c:tx>
            <c:strRef>
              <c:f>'Process evaluation sheet'!$H$4</c:f>
              <c:strCache>
                <c:ptCount val="1"/>
                <c:pt idx="0">
                  <c:v>4</c:v>
                </c:pt>
              </c:strCache>
            </c:strRef>
          </c:tx>
          <c:spPr>
            <a:ln w="25400" cap="rnd">
              <a:noFill/>
              <a:round/>
            </a:ln>
            <a:effectLst/>
          </c:spPr>
          <c:marker>
            <c:symbol val="circle"/>
            <c:size val="5"/>
            <c:spPr>
              <a:solidFill>
                <a:schemeClr val="accent4"/>
              </a:solidFill>
              <a:ln w="9525">
                <a:solidFill>
                  <a:schemeClr val="accent4"/>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sheet'!$H$29</c:f>
            </c:numRef>
          </c:xVal>
          <c:yVal>
            <c:numRef>
              <c:f>'Process evaluation sheet'!$H$30</c:f>
              <c:numCache>
                <c:formatCode>General</c:formatCode>
                <c:ptCount val="1"/>
                <c:pt idx="0">
                  <c:v>0</c:v>
                </c:pt>
              </c:numCache>
            </c:numRef>
          </c:yVal>
          <c:smooth val="0"/>
          <c:extLst>
            <c:ext xmlns:c16="http://schemas.microsoft.com/office/drawing/2014/chart" uri="{C3380CC4-5D6E-409C-BE32-E72D297353CC}">
              <c16:uniqueId val="{00000455-4CE0-4897-AD24-1E35C72F64CA}"/>
            </c:ext>
          </c:extLst>
        </c:ser>
        <c:ser>
          <c:idx val="4"/>
          <c:order val="4"/>
          <c:tx>
            <c:strRef>
              <c:f>'Process evaluation sheet'!$I$4</c:f>
              <c:strCache>
                <c:ptCount val="1"/>
                <c:pt idx="0">
                  <c:v>5</c:v>
                </c:pt>
              </c:strCache>
            </c:strRef>
          </c:tx>
          <c:spPr>
            <a:ln w="25400" cap="rnd">
              <a:noFill/>
              <a:round/>
            </a:ln>
            <a:effectLst/>
          </c:spPr>
          <c:marker>
            <c:symbol val="circle"/>
            <c:size val="5"/>
            <c:spPr>
              <a:solidFill>
                <a:schemeClr val="accent5"/>
              </a:solidFill>
              <a:ln w="9525">
                <a:solidFill>
                  <a:schemeClr val="accent5"/>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sheet'!$I$29</c:f>
            </c:numRef>
          </c:xVal>
          <c:yVal>
            <c:numRef>
              <c:f>'Process evaluation sheet'!$I$30</c:f>
              <c:numCache>
                <c:formatCode>General</c:formatCode>
                <c:ptCount val="1"/>
                <c:pt idx="0">
                  <c:v>0</c:v>
                </c:pt>
              </c:numCache>
            </c:numRef>
          </c:yVal>
          <c:smooth val="0"/>
          <c:extLst>
            <c:ext xmlns:c16="http://schemas.microsoft.com/office/drawing/2014/chart" uri="{C3380CC4-5D6E-409C-BE32-E72D297353CC}">
              <c16:uniqueId val="{00000456-4CE0-4897-AD24-1E35C72F64CA}"/>
            </c:ext>
          </c:extLst>
        </c:ser>
        <c:ser>
          <c:idx val="5"/>
          <c:order val="5"/>
          <c:tx>
            <c:strRef>
              <c:f>'Process evaluation sheet'!$J$4</c:f>
              <c:strCache>
                <c:ptCount val="1"/>
                <c:pt idx="0">
                  <c:v>6</c:v>
                </c:pt>
              </c:strCache>
            </c:strRef>
          </c:tx>
          <c:spPr>
            <a:ln w="25400" cap="rnd">
              <a:noFill/>
              <a:round/>
            </a:ln>
            <a:effectLst/>
          </c:spPr>
          <c:marker>
            <c:symbol val="circle"/>
            <c:size val="5"/>
            <c:spPr>
              <a:solidFill>
                <a:schemeClr val="accent6"/>
              </a:solidFill>
              <a:ln w="9525">
                <a:solidFill>
                  <a:schemeClr val="accent6"/>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sheet'!$J$29</c:f>
            </c:numRef>
          </c:xVal>
          <c:yVal>
            <c:numRef>
              <c:f>'Process evaluation sheet'!$J$30</c:f>
              <c:numCache>
                <c:formatCode>General</c:formatCode>
                <c:ptCount val="1"/>
                <c:pt idx="0">
                  <c:v>0</c:v>
                </c:pt>
              </c:numCache>
            </c:numRef>
          </c:yVal>
          <c:smooth val="0"/>
          <c:extLst>
            <c:ext xmlns:c16="http://schemas.microsoft.com/office/drawing/2014/chart" uri="{C3380CC4-5D6E-409C-BE32-E72D297353CC}">
              <c16:uniqueId val="{00000457-4CE0-4897-AD24-1E35C72F64CA}"/>
            </c:ext>
          </c:extLst>
        </c:ser>
        <c:ser>
          <c:idx val="6"/>
          <c:order val="6"/>
          <c:tx>
            <c:strRef>
              <c:f>'Process evaluation sheet'!$K$4</c:f>
              <c:strCache>
                <c:ptCount val="1"/>
                <c:pt idx="0">
                  <c:v>7</c:v>
                </c:pt>
              </c:strCache>
            </c:strRef>
          </c:tx>
          <c:spPr>
            <a:ln w="25400" cap="rnd">
              <a:noFill/>
              <a:round/>
            </a:ln>
            <a:effectLst/>
          </c:spPr>
          <c:marker>
            <c:symbol val="circle"/>
            <c:size val="5"/>
            <c:spPr>
              <a:solidFill>
                <a:schemeClr val="accent1">
                  <a:lumMod val="60000"/>
                </a:schemeClr>
              </a:solidFill>
              <a:ln w="9525">
                <a:solidFill>
                  <a:schemeClr val="accent1">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sheet'!$K$29</c:f>
            </c:numRef>
          </c:xVal>
          <c:yVal>
            <c:numRef>
              <c:f>'Process evaluation sheet'!$K$30</c:f>
              <c:numCache>
                <c:formatCode>General</c:formatCode>
                <c:ptCount val="1"/>
                <c:pt idx="0">
                  <c:v>0</c:v>
                </c:pt>
              </c:numCache>
            </c:numRef>
          </c:yVal>
          <c:smooth val="0"/>
          <c:extLst>
            <c:ext xmlns:c16="http://schemas.microsoft.com/office/drawing/2014/chart" uri="{C3380CC4-5D6E-409C-BE32-E72D297353CC}">
              <c16:uniqueId val="{00000458-4CE0-4897-AD24-1E35C72F64CA}"/>
            </c:ext>
          </c:extLst>
        </c:ser>
        <c:ser>
          <c:idx val="7"/>
          <c:order val="7"/>
          <c:tx>
            <c:strRef>
              <c:f>'Process evaluation sheet'!$L$4</c:f>
              <c:strCache>
                <c:ptCount val="1"/>
                <c:pt idx="0">
                  <c:v>8</c:v>
                </c:pt>
              </c:strCache>
            </c:strRef>
          </c:tx>
          <c:spPr>
            <a:ln w="25400" cap="rnd">
              <a:noFill/>
              <a:round/>
            </a:ln>
            <a:effectLst/>
          </c:spPr>
          <c:marker>
            <c:symbol val="circle"/>
            <c:size val="5"/>
            <c:spPr>
              <a:solidFill>
                <a:schemeClr val="accent2">
                  <a:lumMod val="60000"/>
                </a:schemeClr>
              </a:solidFill>
              <a:ln w="9525">
                <a:solidFill>
                  <a:schemeClr val="accent2">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sheet'!$L$29</c:f>
            </c:numRef>
          </c:xVal>
          <c:yVal>
            <c:numRef>
              <c:f>'Process evaluation sheet'!$L$30</c:f>
              <c:numCache>
                <c:formatCode>General</c:formatCode>
                <c:ptCount val="1"/>
                <c:pt idx="0">
                  <c:v>0</c:v>
                </c:pt>
              </c:numCache>
            </c:numRef>
          </c:yVal>
          <c:smooth val="0"/>
          <c:extLst>
            <c:ext xmlns:c16="http://schemas.microsoft.com/office/drawing/2014/chart" uri="{C3380CC4-5D6E-409C-BE32-E72D297353CC}">
              <c16:uniqueId val="{00000459-4CE0-4897-AD24-1E35C72F64CA}"/>
            </c:ext>
          </c:extLst>
        </c:ser>
        <c:ser>
          <c:idx val="8"/>
          <c:order val="8"/>
          <c:tx>
            <c:strRef>
              <c:f>'Process evaluation sheet'!$M$4</c:f>
              <c:strCache>
                <c:ptCount val="1"/>
                <c:pt idx="0">
                  <c:v>9</c:v>
                </c:pt>
              </c:strCache>
            </c:strRef>
          </c:tx>
          <c:spPr>
            <a:ln w="25400" cap="rnd">
              <a:noFill/>
              <a:round/>
            </a:ln>
            <a:effectLst/>
          </c:spPr>
          <c:marker>
            <c:symbol val="circle"/>
            <c:size val="5"/>
            <c:spPr>
              <a:solidFill>
                <a:schemeClr val="accent3">
                  <a:lumMod val="60000"/>
                </a:schemeClr>
              </a:solidFill>
              <a:ln w="9525">
                <a:solidFill>
                  <a:schemeClr val="accent3">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sheet'!$M$29</c:f>
            </c:numRef>
          </c:xVal>
          <c:yVal>
            <c:numRef>
              <c:f>'Process evaluation sheet'!$M$30</c:f>
              <c:numCache>
                <c:formatCode>General</c:formatCode>
                <c:ptCount val="1"/>
                <c:pt idx="0">
                  <c:v>0</c:v>
                </c:pt>
              </c:numCache>
            </c:numRef>
          </c:yVal>
          <c:smooth val="0"/>
          <c:extLst>
            <c:ext xmlns:c16="http://schemas.microsoft.com/office/drawing/2014/chart" uri="{C3380CC4-5D6E-409C-BE32-E72D297353CC}">
              <c16:uniqueId val="{0000045A-4CE0-4897-AD24-1E35C72F64CA}"/>
            </c:ext>
          </c:extLst>
        </c:ser>
        <c:ser>
          <c:idx val="9"/>
          <c:order val="9"/>
          <c:tx>
            <c:strRef>
              <c:f>'Process evaluation sheet'!$N$4</c:f>
              <c:strCache>
                <c:ptCount val="1"/>
                <c:pt idx="0">
                  <c:v>10</c:v>
                </c:pt>
              </c:strCache>
            </c:strRef>
          </c:tx>
          <c:spPr>
            <a:ln w="25400" cap="rnd">
              <a:noFill/>
              <a:round/>
            </a:ln>
            <a:effectLst/>
          </c:spPr>
          <c:marker>
            <c:symbol val="circle"/>
            <c:size val="5"/>
            <c:spPr>
              <a:solidFill>
                <a:schemeClr val="accent4">
                  <a:lumMod val="60000"/>
                </a:schemeClr>
              </a:solidFill>
              <a:ln w="9525">
                <a:solidFill>
                  <a:schemeClr val="accent4">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sheet'!$N$29</c:f>
            </c:numRef>
          </c:xVal>
          <c:yVal>
            <c:numRef>
              <c:f>'Process evaluation sheet'!$N$30</c:f>
              <c:numCache>
                <c:formatCode>General</c:formatCode>
                <c:ptCount val="1"/>
                <c:pt idx="0">
                  <c:v>0</c:v>
                </c:pt>
              </c:numCache>
            </c:numRef>
          </c:yVal>
          <c:smooth val="0"/>
          <c:extLst>
            <c:ext xmlns:c16="http://schemas.microsoft.com/office/drawing/2014/chart" uri="{C3380CC4-5D6E-409C-BE32-E72D297353CC}">
              <c16:uniqueId val="{0000045B-4CE0-4897-AD24-1E35C72F64CA}"/>
            </c:ext>
          </c:extLst>
        </c:ser>
        <c:ser>
          <c:idx val="10"/>
          <c:order val="10"/>
          <c:tx>
            <c:strRef>
              <c:f>'Process evaluation sheet'!$O$4</c:f>
              <c:strCache>
                <c:ptCount val="1"/>
                <c:pt idx="0">
                  <c:v>11</c:v>
                </c:pt>
              </c:strCache>
            </c:strRef>
          </c:tx>
          <c:spPr>
            <a:ln w="25400" cap="rnd">
              <a:noFill/>
              <a:round/>
            </a:ln>
            <a:effectLst/>
          </c:spPr>
          <c:marker>
            <c:symbol val="circle"/>
            <c:size val="5"/>
            <c:spPr>
              <a:solidFill>
                <a:schemeClr val="accent5">
                  <a:lumMod val="60000"/>
                </a:schemeClr>
              </a:solidFill>
              <a:ln w="9525">
                <a:solidFill>
                  <a:schemeClr val="accent5">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sheet'!$O$29</c:f>
            </c:numRef>
          </c:xVal>
          <c:yVal>
            <c:numRef>
              <c:f>'Process evaluation sheet'!$O$30</c:f>
              <c:numCache>
                <c:formatCode>General</c:formatCode>
                <c:ptCount val="1"/>
                <c:pt idx="0">
                  <c:v>0</c:v>
                </c:pt>
              </c:numCache>
            </c:numRef>
          </c:yVal>
          <c:smooth val="0"/>
          <c:extLst>
            <c:ext xmlns:c16="http://schemas.microsoft.com/office/drawing/2014/chart" uri="{C3380CC4-5D6E-409C-BE32-E72D297353CC}">
              <c16:uniqueId val="{0000045C-4CE0-4897-AD24-1E35C72F64CA}"/>
            </c:ext>
          </c:extLst>
        </c:ser>
        <c:ser>
          <c:idx val="11"/>
          <c:order val="11"/>
          <c:tx>
            <c:strRef>
              <c:f>'Process evaluation sheet'!$P$4</c:f>
              <c:strCache>
                <c:ptCount val="1"/>
                <c:pt idx="0">
                  <c:v>12</c:v>
                </c:pt>
              </c:strCache>
            </c:strRef>
          </c:tx>
          <c:spPr>
            <a:ln w="25400" cap="rnd">
              <a:noFill/>
              <a:round/>
            </a:ln>
            <a:effectLst/>
          </c:spPr>
          <c:marker>
            <c:symbol val="circle"/>
            <c:size val="5"/>
            <c:spPr>
              <a:solidFill>
                <a:schemeClr val="accent6">
                  <a:lumMod val="60000"/>
                </a:schemeClr>
              </a:solidFill>
              <a:ln w="9525">
                <a:solidFill>
                  <a:schemeClr val="accent6">
                    <a:lumMod val="6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sheet'!$P$29</c:f>
            </c:numRef>
          </c:xVal>
          <c:yVal>
            <c:numRef>
              <c:f>'Process evaluation sheet'!$P$30</c:f>
              <c:numCache>
                <c:formatCode>General</c:formatCode>
                <c:ptCount val="1"/>
                <c:pt idx="0">
                  <c:v>0</c:v>
                </c:pt>
              </c:numCache>
            </c:numRef>
          </c:yVal>
          <c:smooth val="0"/>
          <c:extLst>
            <c:ext xmlns:c16="http://schemas.microsoft.com/office/drawing/2014/chart" uri="{C3380CC4-5D6E-409C-BE32-E72D297353CC}">
              <c16:uniqueId val="{0000045D-4CE0-4897-AD24-1E35C72F64CA}"/>
            </c:ext>
          </c:extLst>
        </c:ser>
        <c:ser>
          <c:idx val="12"/>
          <c:order val="12"/>
          <c:tx>
            <c:strRef>
              <c:f>'Process evaluation sheet'!$Q$4</c:f>
              <c:strCache>
                <c:ptCount val="1"/>
                <c:pt idx="0">
                  <c:v>13</c:v>
                </c:pt>
              </c:strCache>
            </c:strRef>
          </c:tx>
          <c:spPr>
            <a:ln w="25400" cap="rnd">
              <a:no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sheet'!$Q$29</c:f>
            </c:numRef>
          </c:xVal>
          <c:yVal>
            <c:numRef>
              <c:f>'Process evaluation sheet'!$Q$30</c:f>
              <c:numCache>
                <c:formatCode>General</c:formatCode>
                <c:ptCount val="1"/>
                <c:pt idx="0">
                  <c:v>0</c:v>
                </c:pt>
              </c:numCache>
            </c:numRef>
          </c:yVal>
          <c:smooth val="0"/>
          <c:extLst>
            <c:ext xmlns:c16="http://schemas.microsoft.com/office/drawing/2014/chart" uri="{C3380CC4-5D6E-409C-BE32-E72D297353CC}">
              <c16:uniqueId val="{0000045E-4CE0-4897-AD24-1E35C72F64CA}"/>
            </c:ext>
          </c:extLst>
        </c:ser>
        <c:ser>
          <c:idx val="13"/>
          <c:order val="13"/>
          <c:tx>
            <c:strRef>
              <c:f>'Process evaluation sheet'!$R$4</c:f>
              <c:strCache>
                <c:ptCount val="1"/>
                <c:pt idx="0">
                  <c:v>14</c:v>
                </c:pt>
              </c:strCache>
            </c:strRef>
          </c:tx>
          <c:spPr>
            <a:ln w="25400" cap="rnd">
              <a:no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sheet'!$R$29</c:f>
            </c:numRef>
          </c:xVal>
          <c:yVal>
            <c:numRef>
              <c:f>'Process evaluation sheet'!$R$30</c:f>
              <c:numCache>
                <c:formatCode>General</c:formatCode>
                <c:ptCount val="1"/>
                <c:pt idx="0">
                  <c:v>0</c:v>
                </c:pt>
              </c:numCache>
            </c:numRef>
          </c:yVal>
          <c:smooth val="0"/>
          <c:extLst>
            <c:ext xmlns:c16="http://schemas.microsoft.com/office/drawing/2014/chart" uri="{C3380CC4-5D6E-409C-BE32-E72D297353CC}">
              <c16:uniqueId val="{0000045F-4CE0-4897-AD24-1E35C72F64CA}"/>
            </c:ext>
          </c:extLst>
        </c:ser>
        <c:ser>
          <c:idx val="14"/>
          <c:order val="14"/>
          <c:tx>
            <c:strRef>
              <c:f>'Process evaluation sheet'!$S$4</c:f>
              <c:strCache>
                <c:ptCount val="1"/>
                <c:pt idx="0">
                  <c:v>15</c:v>
                </c:pt>
              </c:strCache>
            </c:strRef>
          </c:tx>
          <c:spPr>
            <a:ln w="25400" cap="rnd">
              <a:no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sheet'!$S$29</c:f>
            </c:numRef>
          </c:xVal>
          <c:yVal>
            <c:numRef>
              <c:f>'Process evaluation sheet'!$S$30</c:f>
              <c:numCache>
                <c:formatCode>General</c:formatCode>
                <c:ptCount val="1"/>
                <c:pt idx="0">
                  <c:v>0</c:v>
                </c:pt>
              </c:numCache>
            </c:numRef>
          </c:yVal>
          <c:smooth val="0"/>
          <c:extLst>
            <c:ext xmlns:c16="http://schemas.microsoft.com/office/drawing/2014/chart" uri="{C3380CC4-5D6E-409C-BE32-E72D297353CC}">
              <c16:uniqueId val="{00000460-4CE0-4897-AD24-1E35C72F64CA}"/>
            </c:ext>
          </c:extLst>
        </c:ser>
        <c:ser>
          <c:idx val="15"/>
          <c:order val="15"/>
          <c:tx>
            <c:strRef>
              <c:f>'Process evaluation sheet'!$T$4</c:f>
              <c:strCache>
                <c:ptCount val="1"/>
                <c:pt idx="0">
                  <c:v>16</c:v>
                </c:pt>
              </c:strCache>
            </c:strRef>
          </c:tx>
          <c:spPr>
            <a:ln w="25400" cap="rnd">
              <a:no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sheet'!$T$29</c:f>
              <c:numCache>
                <c:formatCode>General</c:formatCode>
                <c:ptCount val="1"/>
                <c:pt idx="0">
                  <c:v>3</c:v>
                </c:pt>
              </c:numCache>
            </c:numRef>
          </c:xVal>
          <c:yVal>
            <c:numRef>
              <c:f>'Process evaluation sheet'!$T$30</c:f>
              <c:numCache>
                <c:formatCode>General</c:formatCode>
                <c:ptCount val="1"/>
                <c:pt idx="0">
                  <c:v>0</c:v>
                </c:pt>
              </c:numCache>
            </c:numRef>
          </c:yVal>
          <c:smooth val="0"/>
          <c:extLst>
            <c:ext xmlns:c16="http://schemas.microsoft.com/office/drawing/2014/chart" uri="{C3380CC4-5D6E-409C-BE32-E72D297353CC}">
              <c16:uniqueId val="{00000461-4CE0-4897-AD24-1E35C72F64CA}"/>
            </c:ext>
          </c:extLst>
        </c:ser>
        <c:ser>
          <c:idx val="16"/>
          <c:order val="16"/>
          <c:tx>
            <c:strRef>
              <c:f>'Process evaluation sheet'!$U$4</c:f>
              <c:strCache>
                <c:ptCount val="1"/>
                <c:pt idx="0">
                  <c:v>17</c:v>
                </c:pt>
              </c:strCache>
            </c:strRef>
          </c:tx>
          <c:spPr>
            <a:ln w="25400" cap="rnd">
              <a:no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sheet'!$U$29</c:f>
              <c:numCache>
                <c:formatCode>General</c:formatCode>
                <c:ptCount val="1"/>
                <c:pt idx="0">
                  <c:v>3</c:v>
                </c:pt>
              </c:numCache>
            </c:numRef>
          </c:xVal>
          <c:yVal>
            <c:numRef>
              <c:f>'Process evaluation sheet'!$U$30</c:f>
              <c:numCache>
                <c:formatCode>General</c:formatCode>
                <c:ptCount val="1"/>
                <c:pt idx="0">
                  <c:v>0</c:v>
                </c:pt>
              </c:numCache>
            </c:numRef>
          </c:yVal>
          <c:smooth val="0"/>
          <c:extLst>
            <c:ext xmlns:c16="http://schemas.microsoft.com/office/drawing/2014/chart" uri="{C3380CC4-5D6E-409C-BE32-E72D297353CC}">
              <c16:uniqueId val="{00000462-4CE0-4897-AD24-1E35C72F64CA}"/>
            </c:ext>
          </c:extLst>
        </c:ser>
        <c:ser>
          <c:idx val="17"/>
          <c:order val="17"/>
          <c:tx>
            <c:strRef>
              <c:f>'Process evaluation sheet'!$V$4</c:f>
              <c:strCache>
                <c:ptCount val="1"/>
                <c:pt idx="0">
                  <c:v>18</c:v>
                </c:pt>
              </c:strCache>
            </c:strRef>
          </c:tx>
          <c:spPr>
            <a:ln w="25400" cap="rnd">
              <a:no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sheet'!$V$29</c:f>
              <c:numCache>
                <c:formatCode>General</c:formatCode>
                <c:ptCount val="1"/>
                <c:pt idx="0">
                  <c:v>3</c:v>
                </c:pt>
              </c:numCache>
            </c:numRef>
          </c:xVal>
          <c:yVal>
            <c:numRef>
              <c:f>'Process evaluation sheet'!$V$30</c:f>
              <c:numCache>
                <c:formatCode>General</c:formatCode>
                <c:ptCount val="1"/>
                <c:pt idx="0">
                  <c:v>0</c:v>
                </c:pt>
              </c:numCache>
            </c:numRef>
          </c:yVal>
          <c:smooth val="0"/>
          <c:extLst>
            <c:ext xmlns:c16="http://schemas.microsoft.com/office/drawing/2014/chart" uri="{C3380CC4-5D6E-409C-BE32-E72D297353CC}">
              <c16:uniqueId val="{00000463-4CE0-4897-AD24-1E35C72F64CA}"/>
            </c:ext>
          </c:extLst>
        </c:ser>
        <c:ser>
          <c:idx val="18"/>
          <c:order val="18"/>
          <c:tx>
            <c:strRef>
              <c:f>'Process evaluation sheet'!$W$4</c:f>
              <c:strCache>
                <c:ptCount val="1"/>
                <c:pt idx="0">
                  <c:v>19</c:v>
                </c:pt>
              </c:strCache>
            </c:strRef>
          </c:tx>
          <c:spPr>
            <a:ln w="25400" cap="rnd">
              <a:noFill/>
              <a:round/>
            </a:ln>
            <a:effectLst/>
          </c:spPr>
          <c:marker>
            <c:symbol val="circle"/>
            <c:size val="5"/>
            <c:spPr>
              <a:solidFill>
                <a:schemeClr val="accent1">
                  <a:lumMod val="80000"/>
                </a:schemeClr>
              </a:solidFill>
              <a:ln w="9525">
                <a:solidFill>
                  <a:schemeClr val="accent1">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sheet'!$W$29</c:f>
              <c:numCache>
                <c:formatCode>General</c:formatCode>
                <c:ptCount val="1"/>
                <c:pt idx="0">
                  <c:v>3</c:v>
                </c:pt>
              </c:numCache>
            </c:numRef>
          </c:xVal>
          <c:yVal>
            <c:numRef>
              <c:f>'Process evaluation sheet'!$W$30</c:f>
              <c:numCache>
                <c:formatCode>General</c:formatCode>
                <c:ptCount val="1"/>
                <c:pt idx="0">
                  <c:v>0</c:v>
                </c:pt>
              </c:numCache>
            </c:numRef>
          </c:yVal>
          <c:smooth val="0"/>
          <c:extLst>
            <c:ext xmlns:c16="http://schemas.microsoft.com/office/drawing/2014/chart" uri="{C3380CC4-5D6E-409C-BE32-E72D297353CC}">
              <c16:uniqueId val="{00000464-4CE0-4897-AD24-1E35C72F64CA}"/>
            </c:ext>
          </c:extLst>
        </c:ser>
        <c:ser>
          <c:idx val="19"/>
          <c:order val="19"/>
          <c:tx>
            <c:strRef>
              <c:f>'Process evaluation sheet'!$X$4</c:f>
              <c:strCache>
                <c:ptCount val="1"/>
                <c:pt idx="0">
                  <c:v>20</c:v>
                </c:pt>
              </c:strCache>
            </c:strRef>
          </c:tx>
          <c:spPr>
            <a:ln w="25400" cap="rnd">
              <a:noFill/>
              <a:round/>
            </a:ln>
            <a:effectLst/>
          </c:spPr>
          <c:marker>
            <c:symbol val="circle"/>
            <c:size val="5"/>
            <c:spPr>
              <a:solidFill>
                <a:schemeClr val="accent2">
                  <a:lumMod val="80000"/>
                </a:schemeClr>
              </a:solidFill>
              <a:ln w="9525">
                <a:solidFill>
                  <a:schemeClr val="accent2">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sheet'!$X$29</c:f>
              <c:numCache>
                <c:formatCode>General</c:formatCode>
                <c:ptCount val="1"/>
                <c:pt idx="0">
                  <c:v>3</c:v>
                </c:pt>
              </c:numCache>
            </c:numRef>
          </c:xVal>
          <c:yVal>
            <c:numRef>
              <c:f>'Process evaluation sheet'!$X$30</c:f>
              <c:numCache>
                <c:formatCode>General</c:formatCode>
                <c:ptCount val="1"/>
                <c:pt idx="0">
                  <c:v>0</c:v>
                </c:pt>
              </c:numCache>
            </c:numRef>
          </c:yVal>
          <c:smooth val="0"/>
          <c:extLst>
            <c:ext xmlns:c16="http://schemas.microsoft.com/office/drawing/2014/chart" uri="{C3380CC4-5D6E-409C-BE32-E72D297353CC}">
              <c16:uniqueId val="{00000465-4CE0-4897-AD24-1E35C72F64CA}"/>
            </c:ext>
          </c:extLst>
        </c:ser>
        <c:ser>
          <c:idx val="20"/>
          <c:order val="20"/>
          <c:tx>
            <c:strRef>
              <c:f>'Process evaluation sheet'!$Y$4</c:f>
              <c:strCache>
                <c:ptCount val="1"/>
                <c:pt idx="0">
                  <c:v>21</c:v>
                </c:pt>
              </c:strCache>
            </c:strRef>
          </c:tx>
          <c:spPr>
            <a:ln w="25400" cap="rnd">
              <a:noFill/>
              <a:round/>
            </a:ln>
            <a:effectLst/>
          </c:spPr>
          <c:marker>
            <c:symbol val="circle"/>
            <c:size val="5"/>
            <c:spPr>
              <a:solidFill>
                <a:schemeClr val="accent3">
                  <a:lumMod val="80000"/>
                </a:schemeClr>
              </a:solidFill>
              <a:ln w="9525">
                <a:solidFill>
                  <a:schemeClr val="accent3">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sheet'!$Y$29</c:f>
              <c:numCache>
                <c:formatCode>General</c:formatCode>
                <c:ptCount val="1"/>
                <c:pt idx="0">
                  <c:v>3</c:v>
                </c:pt>
              </c:numCache>
            </c:numRef>
          </c:xVal>
          <c:yVal>
            <c:numRef>
              <c:f>'Process evaluation sheet'!$Y$30</c:f>
              <c:numCache>
                <c:formatCode>General</c:formatCode>
                <c:ptCount val="1"/>
                <c:pt idx="0">
                  <c:v>0</c:v>
                </c:pt>
              </c:numCache>
            </c:numRef>
          </c:yVal>
          <c:smooth val="0"/>
          <c:extLst>
            <c:ext xmlns:c16="http://schemas.microsoft.com/office/drawing/2014/chart" uri="{C3380CC4-5D6E-409C-BE32-E72D297353CC}">
              <c16:uniqueId val="{00000466-4CE0-4897-AD24-1E35C72F64CA}"/>
            </c:ext>
          </c:extLst>
        </c:ser>
        <c:ser>
          <c:idx val="21"/>
          <c:order val="21"/>
          <c:tx>
            <c:strRef>
              <c:f>'Process evaluation sheet'!$Z$4</c:f>
              <c:strCache>
                <c:ptCount val="1"/>
                <c:pt idx="0">
                  <c:v>22</c:v>
                </c:pt>
              </c:strCache>
            </c:strRef>
          </c:tx>
          <c:spPr>
            <a:ln w="25400" cap="rnd">
              <a:noFill/>
              <a:round/>
            </a:ln>
            <a:effectLst/>
          </c:spPr>
          <c:marker>
            <c:symbol val="circle"/>
            <c:size val="5"/>
            <c:spPr>
              <a:solidFill>
                <a:schemeClr val="accent4">
                  <a:lumMod val="80000"/>
                </a:schemeClr>
              </a:solidFill>
              <a:ln w="9525">
                <a:solidFill>
                  <a:schemeClr val="accent4">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sheet'!$Z$29</c:f>
              <c:numCache>
                <c:formatCode>General</c:formatCode>
                <c:ptCount val="1"/>
                <c:pt idx="0">
                  <c:v>3</c:v>
                </c:pt>
              </c:numCache>
            </c:numRef>
          </c:xVal>
          <c:yVal>
            <c:numRef>
              <c:f>'Process evaluation sheet'!$Z$30</c:f>
              <c:numCache>
                <c:formatCode>General</c:formatCode>
                <c:ptCount val="1"/>
                <c:pt idx="0">
                  <c:v>0</c:v>
                </c:pt>
              </c:numCache>
            </c:numRef>
          </c:yVal>
          <c:smooth val="0"/>
          <c:extLst>
            <c:ext xmlns:c16="http://schemas.microsoft.com/office/drawing/2014/chart" uri="{C3380CC4-5D6E-409C-BE32-E72D297353CC}">
              <c16:uniqueId val="{00000467-4CE0-4897-AD24-1E35C72F64CA}"/>
            </c:ext>
          </c:extLst>
        </c:ser>
        <c:ser>
          <c:idx val="22"/>
          <c:order val="22"/>
          <c:tx>
            <c:strRef>
              <c:f>'Process evaluation sheet'!$AA$4</c:f>
              <c:strCache>
                <c:ptCount val="1"/>
                <c:pt idx="0">
                  <c:v>23</c:v>
                </c:pt>
              </c:strCache>
            </c:strRef>
          </c:tx>
          <c:spPr>
            <a:ln w="25400" cap="rnd">
              <a:noFill/>
              <a:round/>
            </a:ln>
            <a:effectLst/>
          </c:spPr>
          <c:marker>
            <c:symbol val="circle"/>
            <c:size val="5"/>
            <c:spPr>
              <a:solidFill>
                <a:schemeClr val="accent5">
                  <a:lumMod val="80000"/>
                </a:schemeClr>
              </a:solidFill>
              <a:ln w="9525">
                <a:solidFill>
                  <a:schemeClr val="accent5">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sheet'!$AA$29</c:f>
              <c:numCache>
                <c:formatCode>General</c:formatCode>
                <c:ptCount val="1"/>
                <c:pt idx="0">
                  <c:v>3</c:v>
                </c:pt>
              </c:numCache>
            </c:numRef>
          </c:xVal>
          <c:yVal>
            <c:numRef>
              <c:f>'Process evaluation sheet'!$AA$30</c:f>
              <c:numCache>
                <c:formatCode>General</c:formatCode>
                <c:ptCount val="1"/>
                <c:pt idx="0">
                  <c:v>0</c:v>
                </c:pt>
              </c:numCache>
            </c:numRef>
          </c:yVal>
          <c:smooth val="0"/>
          <c:extLst>
            <c:ext xmlns:c16="http://schemas.microsoft.com/office/drawing/2014/chart" uri="{C3380CC4-5D6E-409C-BE32-E72D297353CC}">
              <c16:uniqueId val="{00000468-4CE0-4897-AD24-1E35C72F64CA}"/>
            </c:ext>
          </c:extLst>
        </c:ser>
        <c:ser>
          <c:idx val="23"/>
          <c:order val="23"/>
          <c:tx>
            <c:strRef>
              <c:f>'Process evaluation sheet'!$AB$4</c:f>
              <c:strCache>
                <c:ptCount val="1"/>
                <c:pt idx="0">
                  <c:v>24</c:v>
                </c:pt>
              </c:strCache>
            </c:strRef>
          </c:tx>
          <c:spPr>
            <a:ln w="25400" cap="rnd">
              <a:noFill/>
              <a:round/>
            </a:ln>
            <a:effectLst/>
          </c:spPr>
          <c:marker>
            <c:symbol val="circle"/>
            <c:size val="5"/>
            <c:spPr>
              <a:solidFill>
                <a:schemeClr val="accent6">
                  <a:lumMod val="80000"/>
                </a:schemeClr>
              </a:solidFill>
              <a:ln w="9525">
                <a:solidFill>
                  <a:schemeClr val="accent6">
                    <a:lumMod val="8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sheet'!$AB$29</c:f>
              <c:numCache>
                <c:formatCode>General</c:formatCode>
                <c:ptCount val="1"/>
                <c:pt idx="0">
                  <c:v>3</c:v>
                </c:pt>
              </c:numCache>
            </c:numRef>
          </c:xVal>
          <c:yVal>
            <c:numRef>
              <c:f>'Process evaluation sheet'!$AB$30</c:f>
              <c:numCache>
                <c:formatCode>General</c:formatCode>
                <c:ptCount val="1"/>
                <c:pt idx="0">
                  <c:v>0</c:v>
                </c:pt>
              </c:numCache>
            </c:numRef>
          </c:yVal>
          <c:smooth val="0"/>
          <c:extLst>
            <c:ext xmlns:c16="http://schemas.microsoft.com/office/drawing/2014/chart" uri="{C3380CC4-5D6E-409C-BE32-E72D297353CC}">
              <c16:uniqueId val="{00000469-4CE0-4897-AD24-1E35C72F64CA}"/>
            </c:ext>
          </c:extLst>
        </c:ser>
        <c:ser>
          <c:idx val="24"/>
          <c:order val="24"/>
          <c:tx>
            <c:strRef>
              <c:f>'Process evaluation sheet'!$AC$4</c:f>
              <c:strCache>
                <c:ptCount val="1"/>
                <c:pt idx="0">
                  <c:v>25</c:v>
                </c:pt>
              </c:strCache>
            </c:strRef>
          </c:tx>
          <c:spPr>
            <a:ln w="25400" cap="rnd">
              <a:no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sheet'!$AC$29</c:f>
              <c:numCache>
                <c:formatCode>General</c:formatCode>
                <c:ptCount val="1"/>
                <c:pt idx="0">
                  <c:v>3</c:v>
                </c:pt>
              </c:numCache>
            </c:numRef>
          </c:xVal>
          <c:yVal>
            <c:numRef>
              <c:f>'Process evaluation sheet'!$AC$30</c:f>
              <c:numCache>
                <c:formatCode>General</c:formatCode>
                <c:ptCount val="1"/>
                <c:pt idx="0">
                  <c:v>0</c:v>
                </c:pt>
              </c:numCache>
            </c:numRef>
          </c:yVal>
          <c:smooth val="0"/>
          <c:extLst>
            <c:ext xmlns:c16="http://schemas.microsoft.com/office/drawing/2014/chart" uri="{C3380CC4-5D6E-409C-BE32-E72D297353CC}">
              <c16:uniqueId val="{0000046A-4CE0-4897-AD24-1E35C72F64CA}"/>
            </c:ext>
          </c:extLst>
        </c:ser>
        <c:ser>
          <c:idx val="25"/>
          <c:order val="25"/>
          <c:tx>
            <c:strRef>
              <c:f>'Process evaluation sheet'!$AD$4</c:f>
              <c:strCache>
                <c:ptCount val="1"/>
                <c:pt idx="0">
                  <c:v>26</c:v>
                </c:pt>
              </c:strCache>
            </c:strRef>
          </c:tx>
          <c:spPr>
            <a:ln w="25400" cap="rnd">
              <a:no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sheet'!$AD$29</c:f>
              <c:numCache>
                <c:formatCode>General</c:formatCode>
                <c:ptCount val="1"/>
                <c:pt idx="0">
                  <c:v>3</c:v>
                </c:pt>
              </c:numCache>
            </c:numRef>
          </c:xVal>
          <c:yVal>
            <c:numRef>
              <c:f>'Process evaluation sheet'!$AD$30</c:f>
              <c:numCache>
                <c:formatCode>General</c:formatCode>
                <c:ptCount val="1"/>
                <c:pt idx="0">
                  <c:v>0</c:v>
                </c:pt>
              </c:numCache>
            </c:numRef>
          </c:yVal>
          <c:smooth val="0"/>
          <c:extLst>
            <c:ext xmlns:c16="http://schemas.microsoft.com/office/drawing/2014/chart" uri="{C3380CC4-5D6E-409C-BE32-E72D297353CC}">
              <c16:uniqueId val="{0000046B-4CE0-4897-AD24-1E35C72F64CA}"/>
            </c:ext>
          </c:extLst>
        </c:ser>
        <c:ser>
          <c:idx val="26"/>
          <c:order val="26"/>
          <c:tx>
            <c:strRef>
              <c:f>'Process evaluation sheet'!$AE$4</c:f>
              <c:strCache>
                <c:ptCount val="1"/>
                <c:pt idx="0">
                  <c:v>27</c:v>
                </c:pt>
              </c:strCache>
            </c:strRef>
          </c:tx>
          <c:spPr>
            <a:ln w="25400" cap="rnd">
              <a:no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sheet'!$AE$29</c:f>
              <c:numCache>
                <c:formatCode>General</c:formatCode>
                <c:ptCount val="1"/>
                <c:pt idx="0">
                  <c:v>3</c:v>
                </c:pt>
              </c:numCache>
            </c:numRef>
          </c:xVal>
          <c:yVal>
            <c:numRef>
              <c:f>'Process evaluation sheet'!$AE$30</c:f>
              <c:numCache>
                <c:formatCode>General</c:formatCode>
                <c:ptCount val="1"/>
                <c:pt idx="0">
                  <c:v>0</c:v>
                </c:pt>
              </c:numCache>
            </c:numRef>
          </c:yVal>
          <c:smooth val="0"/>
          <c:extLst>
            <c:ext xmlns:c16="http://schemas.microsoft.com/office/drawing/2014/chart" uri="{C3380CC4-5D6E-409C-BE32-E72D297353CC}">
              <c16:uniqueId val="{0000046C-4CE0-4897-AD24-1E35C72F64CA}"/>
            </c:ext>
          </c:extLst>
        </c:ser>
        <c:ser>
          <c:idx val="27"/>
          <c:order val="27"/>
          <c:tx>
            <c:strRef>
              <c:f>'Process evaluation sheet'!$AF$4</c:f>
              <c:strCache>
                <c:ptCount val="1"/>
                <c:pt idx="0">
                  <c:v>28</c:v>
                </c:pt>
              </c:strCache>
            </c:strRef>
          </c:tx>
          <c:spPr>
            <a:ln w="25400" cap="rnd">
              <a:no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sheet'!$AF$29</c:f>
              <c:numCache>
                <c:formatCode>General</c:formatCode>
                <c:ptCount val="1"/>
                <c:pt idx="0">
                  <c:v>3</c:v>
                </c:pt>
              </c:numCache>
            </c:numRef>
          </c:xVal>
          <c:yVal>
            <c:numRef>
              <c:f>'Process evaluation sheet'!$AF$30</c:f>
              <c:numCache>
                <c:formatCode>General</c:formatCode>
                <c:ptCount val="1"/>
                <c:pt idx="0">
                  <c:v>0</c:v>
                </c:pt>
              </c:numCache>
            </c:numRef>
          </c:yVal>
          <c:smooth val="0"/>
          <c:extLst>
            <c:ext xmlns:c16="http://schemas.microsoft.com/office/drawing/2014/chart" uri="{C3380CC4-5D6E-409C-BE32-E72D297353CC}">
              <c16:uniqueId val="{0000046D-4CE0-4897-AD24-1E35C72F64CA}"/>
            </c:ext>
          </c:extLst>
        </c:ser>
        <c:ser>
          <c:idx val="28"/>
          <c:order val="28"/>
          <c:tx>
            <c:strRef>
              <c:f>'Process evaluation sheet'!$AG$4</c:f>
              <c:strCache>
                <c:ptCount val="1"/>
                <c:pt idx="0">
                  <c:v>29</c:v>
                </c:pt>
              </c:strCache>
            </c:strRef>
          </c:tx>
          <c:spPr>
            <a:ln w="25400" cap="rnd">
              <a:no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sheet'!$AG$29</c:f>
              <c:numCache>
                <c:formatCode>General</c:formatCode>
                <c:ptCount val="1"/>
                <c:pt idx="0">
                  <c:v>3</c:v>
                </c:pt>
              </c:numCache>
            </c:numRef>
          </c:xVal>
          <c:yVal>
            <c:numRef>
              <c:f>'Process evaluation sheet'!$AG$30</c:f>
              <c:numCache>
                <c:formatCode>General</c:formatCode>
                <c:ptCount val="1"/>
                <c:pt idx="0">
                  <c:v>0</c:v>
                </c:pt>
              </c:numCache>
            </c:numRef>
          </c:yVal>
          <c:smooth val="0"/>
          <c:extLst>
            <c:ext xmlns:c16="http://schemas.microsoft.com/office/drawing/2014/chart" uri="{C3380CC4-5D6E-409C-BE32-E72D297353CC}">
              <c16:uniqueId val="{0000046E-4CE0-4897-AD24-1E35C72F64CA}"/>
            </c:ext>
          </c:extLst>
        </c:ser>
        <c:ser>
          <c:idx val="29"/>
          <c:order val="29"/>
          <c:tx>
            <c:strRef>
              <c:f>'Process evaluation sheet'!$AH$4</c:f>
              <c:strCache>
                <c:ptCount val="1"/>
                <c:pt idx="0">
                  <c:v>30</c:v>
                </c:pt>
              </c:strCache>
            </c:strRef>
          </c:tx>
          <c:spPr>
            <a:ln w="25400" cap="rnd">
              <a:no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sheet'!$AH$29</c:f>
              <c:numCache>
                <c:formatCode>General</c:formatCode>
                <c:ptCount val="1"/>
                <c:pt idx="0">
                  <c:v>3</c:v>
                </c:pt>
              </c:numCache>
            </c:numRef>
          </c:xVal>
          <c:yVal>
            <c:numRef>
              <c:f>'Process evaluation sheet'!$AH$30</c:f>
              <c:numCache>
                <c:formatCode>General</c:formatCode>
                <c:ptCount val="1"/>
                <c:pt idx="0">
                  <c:v>0</c:v>
                </c:pt>
              </c:numCache>
            </c:numRef>
          </c:yVal>
          <c:smooth val="0"/>
          <c:extLst>
            <c:ext xmlns:c16="http://schemas.microsoft.com/office/drawing/2014/chart" uri="{C3380CC4-5D6E-409C-BE32-E72D297353CC}">
              <c16:uniqueId val="{0000046F-4CE0-4897-AD24-1E35C72F64CA}"/>
            </c:ext>
          </c:extLst>
        </c:ser>
        <c:ser>
          <c:idx val="30"/>
          <c:order val="30"/>
          <c:tx>
            <c:strRef>
              <c:f>'Process evaluation sheet'!$AI$4</c:f>
              <c:strCache>
                <c:ptCount val="1"/>
                <c:pt idx="0">
                  <c:v>31</c:v>
                </c:pt>
              </c:strCache>
            </c:strRef>
          </c:tx>
          <c:spPr>
            <a:ln w="25400" cap="rnd">
              <a:noFill/>
              <a:round/>
            </a:ln>
            <a:effectLst/>
          </c:spPr>
          <c:marker>
            <c:symbol val="circle"/>
            <c:size val="5"/>
            <c:spPr>
              <a:solidFill>
                <a:schemeClr val="accent1">
                  <a:lumMod val="50000"/>
                </a:schemeClr>
              </a:solidFill>
              <a:ln w="9525">
                <a:solidFill>
                  <a:schemeClr val="accent1">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sheet'!$AI$29</c:f>
              <c:numCache>
                <c:formatCode>General</c:formatCode>
                <c:ptCount val="1"/>
                <c:pt idx="0">
                  <c:v>3</c:v>
                </c:pt>
              </c:numCache>
            </c:numRef>
          </c:xVal>
          <c:yVal>
            <c:numRef>
              <c:f>'Process evaluation sheet'!$AI$30</c:f>
              <c:numCache>
                <c:formatCode>General</c:formatCode>
                <c:ptCount val="1"/>
                <c:pt idx="0">
                  <c:v>0</c:v>
                </c:pt>
              </c:numCache>
            </c:numRef>
          </c:yVal>
          <c:smooth val="0"/>
          <c:extLst>
            <c:ext xmlns:c16="http://schemas.microsoft.com/office/drawing/2014/chart" uri="{C3380CC4-5D6E-409C-BE32-E72D297353CC}">
              <c16:uniqueId val="{00000470-4CE0-4897-AD24-1E35C72F64CA}"/>
            </c:ext>
          </c:extLst>
        </c:ser>
        <c:ser>
          <c:idx val="31"/>
          <c:order val="31"/>
          <c:tx>
            <c:strRef>
              <c:f>'Process evaluation sheet'!$AJ$4</c:f>
              <c:strCache>
                <c:ptCount val="1"/>
                <c:pt idx="0">
                  <c:v>32</c:v>
                </c:pt>
              </c:strCache>
            </c:strRef>
          </c:tx>
          <c:spPr>
            <a:ln w="25400" cap="rnd">
              <a:noFill/>
              <a:round/>
            </a:ln>
            <a:effectLst/>
          </c:spPr>
          <c:marker>
            <c:symbol val="circle"/>
            <c:size val="5"/>
            <c:spPr>
              <a:solidFill>
                <a:schemeClr val="accent2">
                  <a:lumMod val="50000"/>
                </a:schemeClr>
              </a:solidFill>
              <a:ln w="9525">
                <a:solidFill>
                  <a:schemeClr val="accent2">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sheet'!$AJ$29</c:f>
              <c:numCache>
                <c:formatCode>General</c:formatCode>
                <c:ptCount val="1"/>
                <c:pt idx="0">
                  <c:v>3</c:v>
                </c:pt>
              </c:numCache>
            </c:numRef>
          </c:xVal>
          <c:yVal>
            <c:numRef>
              <c:f>'Process evaluation sheet'!$AJ$30</c:f>
              <c:numCache>
                <c:formatCode>General</c:formatCode>
                <c:ptCount val="1"/>
                <c:pt idx="0">
                  <c:v>0</c:v>
                </c:pt>
              </c:numCache>
            </c:numRef>
          </c:yVal>
          <c:smooth val="0"/>
          <c:extLst>
            <c:ext xmlns:c16="http://schemas.microsoft.com/office/drawing/2014/chart" uri="{C3380CC4-5D6E-409C-BE32-E72D297353CC}">
              <c16:uniqueId val="{00000471-4CE0-4897-AD24-1E35C72F64CA}"/>
            </c:ext>
          </c:extLst>
        </c:ser>
        <c:ser>
          <c:idx val="32"/>
          <c:order val="32"/>
          <c:tx>
            <c:strRef>
              <c:f>'Process evaluation sheet'!$AK$4</c:f>
              <c:strCache>
                <c:ptCount val="1"/>
                <c:pt idx="0">
                  <c:v>33</c:v>
                </c:pt>
              </c:strCache>
            </c:strRef>
          </c:tx>
          <c:spPr>
            <a:ln w="25400" cap="rnd">
              <a:noFill/>
              <a:round/>
            </a:ln>
            <a:effectLst/>
          </c:spPr>
          <c:marker>
            <c:symbol val="circle"/>
            <c:size val="5"/>
            <c:spPr>
              <a:solidFill>
                <a:schemeClr val="accent3">
                  <a:lumMod val="50000"/>
                </a:schemeClr>
              </a:solidFill>
              <a:ln w="9525">
                <a:solidFill>
                  <a:schemeClr val="accent3">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sheet'!$AK$29</c:f>
              <c:numCache>
                <c:formatCode>General</c:formatCode>
                <c:ptCount val="1"/>
                <c:pt idx="0">
                  <c:v>3</c:v>
                </c:pt>
              </c:numCache>
            </c:numRef>
          </c:xVal>
          <c:yVal>
            <c:numRef>
              <c:f>'Process evaluation sheet'!$AK$30</c:f>
              <c:numCache>
                <c:formatCode>General</c:formatCode>
                <c:ptCount val="1"/>
                <c:pt idx="0">
                  <c:v>0</c:v>
                </c:pt>
              </c:numCache>
            </c:numRef>
          </c:yVal>
          <c:smooth val="0"/>
          <c:extLst>
            <c:ext xmlns:c16="http://schemas.microsoft.com/office/drawing/2014/chart" uri="{C3380CC4-5D6E-409C-BE32-E72D297353CC}">
              <c16:uniqueId val="{00000472-4CE0-4897-AD24-1E35C72F64CA}"/>
            </c:ext>
          </c:extLst>
        </c:ser>
        <c:ser>
          <c:idx val="33"/>
          <c:order val="33"/>
          <c:tx>
            <c:strRef>
              <c:f>'Process evaluation sheet'!$AL$4</c:f>
              <c:strCache>
                <c:ptCount val="1"/>
                <c:pt idx="0">
                  <c:v>34</c:v>
                </c:pt>
              </c:strCache>
            </c:strRef>
          </c:tx>
          <c:spPr>
            <a:ln w="25400" cap="rnd">
              <a:noFill/>
              <a:round/>
            </a:ln>
            <a:effectLst/>
          </c:spPr>
          <c:marker>
            <c:symbol val="circle"/>
            <c:size val="5"/>
            <c:spPr>
              <a:solidFill>
                <a:schemeClr val="accent4">
                  <a:lumMod val="50000"/>
                </a:schemeClr>
              </a:solidFill>
              <a:ln w="9525">
                <a:solidFill>
                  <a:schemeClr val="accent4">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sheet'!$AL$29</c:f>
              <c:numCache>
                <c:formatCode>General</c:formatCode>
                <c:ptCount val="1"/>
                <c:pt idx="0">
                  <c:v>3</c:v>
                </c:pt>
              </c:numCache>
            </c:numRef>
          </c:xVal>
          <c:yVal>
            <c:numRef>
              <c:f>'Process evaluation sheet'!$AL$30</c:f>
              <c:numCache>
                <c:formatCode>General</c:formatCode>
                <c:ptCount val="1"/>
                <c:pt idx="0">
                  <c:v>0</c:v>
                </c:pt>
              </c:numCache>
            </c:numRef>
          </c:yVal>
          <c:smooth val="0"/>
          <c:extLst>
            <c:ext xmlns:c16="http://schemas.microsoft.com/office/drawing/2014/chart" uri="{C3380CC4-5D6E-409C-BE32-E72D297353CC}">
              <c16:uniqueId val="{00000473-4CE0-4897-AD24-1E35C72F64CA}"/>
            </c:ext>
          </c:extLst>
        </c:ser>
        <c:ser>
          <c:idx val="34"/>
          <c:order val="34"/>
          <c:tx>
            <c:strRef>
              <c:f>'Process evaluation sheet'!$AM$4</c:f>
              <c:strCache>
                <c:ptCount val="1"/>
                <c:pt idx="0">
                  <c:v>35</c:v>
                </c:pt>
              </c:strCache>
            </c:strRef>
          </c:tx>
          <c:spPr>
            <a:ln w="25400" cap="rnd">
              <a:noFill/>
              <a:round/>
            </a:ln>
            <a:effectLst/>
          </c:spPr>
          <c:marker>
            <c:symbol val="circle"/>
            <c:size val="5"/>
            <c:spPr>
              <a:solidFill>
                <a:schemeClr val="accent5">
                  <a:lumMod val="50000"/>
                </a:schemeClr>
              </a:solidFill>
              <a:ln w="9525">
                <a:solidFill>
                  <a:schemeClr val="accent5">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sheet'!$AM$29</c:f>
              <c:numCache>
                <c:formatCode>General</c:formatCode>
                <c:ptCount val="1"/>
                <c:pt idx="0">
                  <c:v>3</c:v>
                </c:pt>
              </c:numCache>
            </c:numRef>
          </c:xVal>
          <c:yVal>
            <c:numRef>
              <c:f>'Process evaluation sheet'!$AM$30</c:f>
              <c:numCache>
                <c:formatCode>General</c:formatCode>
                <c:ptCount val="1"/>
                <c:pt idx="0">
                  <c:v>0</c:v>
                </c:pt>
              </c:numCache>
            </c:numRef>
          </c:yVal>
          <c:smooth val="0"/>
          <c:extLst>
            <c:ext xmlns:c16="http://schemas.microsoft.com/office/drawing/2014/chart" uri="{C3380CC4-5D6E-409C-BE32-E72D297353CC}">
              <c16:uniqueId val="{00000474-4CE0-4897-AD24-1E35C72F64CA}"/>
            </c:ext>
          </c:extLst>
        </c:ser>
        <c:ser>
          <c:idx val="35"/>
          <c:order val="35"/>
          <c:tx>
            <c:strRef>
              <c:f>'Process evaluation sheet'!$AN$4</c:f>
              <c:strCache>
                <c:ptCount val="1"/>
                <c:pt idx="0">
                  <c:v>36</c:v>
                </c:pt>
              </c:strCache>
            </c:strRef>
          </c:tx>
          <c:spPr>
            <a:ln w="25400" cap="rnd">
              <a:noFill/>
              <a:round/>
            </a:ln>
            <a:effectLst/>
          </c:spPr>
          <c:marker>
            <c:symbol val="circle"/>
            <c:size val="5"/>
            <c:spPr>
              <a:solidFill>
                <a:schemeClr val="accent6">
                  <a:lumMod val="50000"/>
                </a:schemeClr>
              </a:solidFill>
              <a:ln w="9525">
                <a:solidFill>
                  <a:schemeClr val="accent6">
                    <a:lumMod val="5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sheet'!$AN$29</c:f>
              <c:numCache>
                <c:formatCode>General</c:formatCode>
                <c:ptCount val="1"/>
                <c:pt idx="0">
                  <c:v>3</c:v>
                </c:pt>
              </c:numCache>
            </c:numRef>
          </c:xVal>
          <c:yVal>
            <c:numRef>
              <c:f>'Process evaluation sheet'!$AN$30</c:f>
              <c:numCache>
                <c:formatCode>General</c:formatCode>
                <c:ptCount val="1"/>
                <c:pt idx="0">
                  <c:v>0</c:v>
                </c:pt>
              </c:numCache>
            </c:numRef>
          </c:yVal>
          <c:smooth val="0"/>
          <c:extLst>
            <c:ext xmlns:c16="http://schemas.microsoft.com/office/drawing/2014/chart" uri="{C3380CC4-5D6E-409C-BE32-E72D297353CC}">
              <c16:uniqueId val="{00000475-4CE0-4897-AD24-1E35C72F64CA}"/>
            </c:ext>
          </c:extLst>
        </c:ser>
        <c:ser>
          <c:idx val="36"/>
          <c:order val="36"/>
          <c:tx>
            <c:strRef>
              <c:f>'Process evaluation sheet'!$AO$4</c:f>
              <c:strCache>
                <c:ptCount val="1"/>
                <c:pt idx="0">
                  <c:v>37</c:v>
                </c:pt>
              </c:strCache>
            </c:strRef>
          </c:tx>
          <c:spPr>
            <a:ln w="25400" cap="rnd">
              <a:noFill/>
              <a:round/>
            </a:ln>
            <a:effectLst/>
          </c:spPr>
          <c:marker>
            <c:symbol val="circle"/>
            <c:size val="5"/>
            <c:spPr>
              <a:solidFill>
                <a:schemeClr val="accent1">
                  <a:lumMod val="70000"/>
                  <a:lumOff val="30000"/>
                </a:schemeClr>
              </a:solidFill>
              <a:ln w="9525">
                <a:solidFill>
                  <a:schemeClr val="accent1">
                    <a:lumMod val="70000"/>
                    <a:lumOff val="3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sheet'!$AO$29</c:f>
              <c:numCache>
                <c:formatCode>General</c:formatCode>
                <c:ptCount val="1"/>
                <c:pt idx="0">
                  <c:v>3</c:v>
                </c:pt>
              </c:numCache>
            </c:numRef>
          </c:xVal>
          <c:yVal>
            <c:numRef>
              <c:f>'Process evaluation sheet'!$AO$30</c:f>
              <c:numCache>
                <c:formatCode>General</c:formatCode>
                <c:ptCount val="1"/>
                <c:pt idx="0">
                  <c:v>0</c:v>
                </c:pt>
              </c:numCache>
            </c:numRef>
          </c:yVal>
          <c:smooth val="0"/>
          <c:extLst>
            <c:ext xmlns:c16="http://schemas.microsoft.com/office/drawing/2014/chart" uri="{C3380CC4-5D6E-409C-BE32-E72D297353CC}">
              <c16:uniqueId val="{00000476-4CE0-4897-AD24-1E35C72F64CA}"/>
            </c:ext>
          </c:extLst>
        </c:ser>
        <c:ser>
          <c:idx val="37"/>
          <c:order val="37"/>
          <c:tx>
            <c:strRef>
              <c:f>'Process evaluation sheet'!$AP$4</c:f>
              <c:strCache>
                <c:ptCount val="1"/>
                <c:pt idx="0">
                  <c:v>38</c:v>
                </c:pt>
              </c:strCache>
            </c:strRef>
          </c:tx>
          <c:spPr>
            <a:ln w="25400" cap="rnd">
              <a:noFill/>
              <a:round/>
            </a:ln>
            <a:effectLst/>
          </c:spPr>
          <c:marker>
            <c:symbol val="circle"/>
            <c:size val="5"/>
            <c:spPr>
              <a:solidFill>
                <a:schemeClr val="accent2">
                  <a:lumMod val="70000"/>
                  <a:lumOff val="30000"/>
                </a:schemeClr>
              </a:solidFill>
              <a:ln w="9525">
                <a:solidFill>
                  <a:schemeClr val="accent2">
                    <a:lumMod val="70000"/>
                    <a:lumOff val="3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sheet'!$AP$29</c:f>
              <c:numCache>
                <c:formatCode>General</c:formatCode>
                <c:ptCount val="1"/>
                <c:pt idx="0">
                  <c:v>3</c:v>
                </c:pt>
              </c:numCache>
            </c:numRef>
          </c:xVal>
          <c:yVal>
            <c:numRef>
              <c:f>'Process evaluation sheet'!$AP$30</c:f>
              <c:numCache>
                <c:formatCode>General</c:formatCode>
                <c:ptCount val="1"/>
                <c:pt idx="0">
                  <c:v>0</c:v>
                </c:pt>
              </c:numCache>
            </c:numRef>
          </c:yVal>
          <c:smooth val="0"/>
          <c:extLst>
            <c:ext xmlns:c16="http://schemas.microsoft.com/office/drawing/2014/chart" uri="{C3380CC4-5D6E-409C-BE32-E72D297353CC}">
              <c16:uniqueId val="{00000477-4CE0-4897-AD24-1E35C72F64CA}"/>
            </c:ext>
          </c:extLst>
        </c:ser>
        <c:ser>
          <c:idx val="38"/>
          <c:order val="38"/>
          <c:tx>
            <c:strRef>
              <c:f>'Process evaluation sheet'!$AQ$4</c:f>
              <c:strCache>
                <c:ptCount val="1"/>
                <c:pt idx="0">
                  <c:v>39</c:v>
                </c:pt>
              </c:strCache>
            </c:strRef>
          </c:tx>
          <c:spPr>
            <a:ln w="25400" cap="rnd">
              <a:noFill/>
              <a:round/>
            </a:ln>
            <a:effectLst/>
          </c:spPr>
          <c:marker>
            <c:symbol val="circle"/>
            <c:size val="5"/>
            <c:spPr>
              <a:solidFill>
                <a:schemeClr val="accent3">
                  <a:lumMod val="70000"/>
                  <a:lumOff val="30000"/>
                </a:schemeClr>
              </a:solidFill>
              <a:ln w="9525">
                <a:solidFill>
                  <a:schemeClr val="accent3">
                    <a:lumMod val="70000"/>
                    <a:lumOff val="3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sheet'!$AQ$29</c:f>
              <c:numCache>
                <c:formatCode>General</c:formatCode>
                <c:ptCount val="1"/>
                <c:pt idx="0">
                  <c:v>3</c:v>
                </c:pt>
              </c:numCache>
            </c:numRef>
          </c:xVal>
          <c:yVal>
            <c:numRef>
              <c:f>'Process evaluation sheet'!$AQ$30</c:f>
              <c:numCache>
                <c:formatCode>General</c:formatCode>
                <c:ptCount val="1"/>
                <c:pt idx="0">
                  <c:v>0</c:v>
                </c:pt>
              </c:numCache>
            </c:numRef>
          </c:yVal>
          <c:smooth val="0"/>
          <c:extLst>
            <c:ext xmlns:c16="http://schemas.microsoft.com/office/drawing/2014/chart" uri="{C3380CC4-5D6E-409C-BE32-E72D297353CC}">
              <c16:uniqueId val="{00000478-4CE0-4897-AD24-1E35C72F64CA}"/>
            </c:ext>
          </c:extLst>
        </c:ser>
        <c:ser>
          <c:idx val="39"/>
          <c:order val="39"/>
          <c:tx>
            <c:strRef>
              <c:f>'Process evaluation sheet'!$AR$4</c:f>
              <c:strCache>
                <c:ptCount val="1"/>
                <c:pt idx="0">
                  <c:v>40</c:v>
                </c:pt>
              </c:strCache>
            </c:strRef>
          </c:tx>
          <c:spPr>
            <a:ln w="25400" cap="rnd">
              <a:noFill/>
              <a:round/>
            </a:ln>
            <a:effectLst/>
          </c:spPr>
          <c:marker>
            <c:symbol val="circle"/>
            <c:size val="5"/>
            <c:spPr>
              <a:solidFill>
                <a:schemeClr val="accent4">
                  <a:lumMod val="70000"/>
                  <a:lumOff val="30000"/>
                </a:schemeClr>
              </a:solidFill>
              <a:ln w="9525">
                <a:solidFill>
                  <a:schemeClr val="accent4">
                    <a:lumMod val="70000"/>
                    <a:lumOff val="30000"/>
                  </a:schemeClr>
                </a:solidFill>
              </a:ln>
              <a:effectLst/>
            </c:spPr>
          </c:marker>
          <c:dLbls>
            <c:spPr>
              <a:noFill/>
              <a:ln>
                <a:noFill/>
              </a:ln>
              <a:effectLst/>
            </c:spPr>
            <c:txPr>
              <a:bodyPr rot="0" spcFirstLastPara="1" vertOverflow="ellipsis" vert="horz" wrap="square" lIns="38100" tIns="19050" rIns="38100" bIns="19050" anchor="ctr" anchorCtr="1">
                <a:spAutoFit/>
              </a:bodyPr>
              <a:lstStyle/>
              <a:p>
                <a:pPr>
                  <a:defRPr sz="1500" b="0" i="0" u="none" strike="noStrike" kern="1200" baseline="0">
                    <a:solidFill>
                      <a:schemeClr val="tx1">
                        <a:lumMod val="75000"/>
                        <a:lumOff val="25000"/>
                      </a:schemeClr>
                    </a:solidFill>
                    <a:latin typeface="+mn-lt"/>
                    <a:ea typeface="+mn-ea"/>
                    <a:cs typeface="+mn-cs"/>
                  </a:defRPr>
                </a:pPr>
                <a:endParaRPr lang="de-DE"/>
              </a:p>
            </c:txPr>
            <c:dLblPos val="t"/>
            <c:showLegendKey val="0"/>
            <c:showVal val="0"/>
            <c:showCatName val="0"/>
            <c:showSerName val="1"/>
            <c:showPercent val="0"/>
            <c:showBubbleSize val="0"/>
            <c:showLeaderLines val="0"/>
            <c:extLst>
              <c:ext xmlns:c15="http://schemas.microsoft.com/office/drawing/2012/chart" uri="{CE6537A1-D6FC-4f65-9D91-7224C49458BB}">
                <c15:layout/>
                <c15:showLeaderLines val="1"/>
                <c15:leaderLines>
                  <c:spPr>
                    <a:ln w="9525" cap="flat" cmpd="sng" algn="ctr">
                      <a:solidFill>
                        <a:schemeClr val="tx1">
                          <a:lumMod val="35000"/>
                          <a:lumOff val="65000"/>
                        </a:schemeClr>
                      </a:solidFill>
                      <a:round/>
                    </a:ln>
                    <a:effectLst/>
                  </c:spPr>
                </c15:leaderLines>
              </c:ext>
            </c:extLst>
          </c:dLbls>
          <c:xVal>
            <c:numRef>
              <c:f>'Process evaluation sheet'!$AR$29</c:f>
              <c:numCache>
                <c:formatCode>General</c:formatCode>
                <c:ptCount val="1"/>
                <c:pt idx="0">
                  <c:v>3</c:v>
                </c:pt>
              </c:numCache>
            </c:numRef>
          </c:xVal>
          <c:yVal>
            <c:numRef>
              <c:f>'Process evaluation sheet'!$AR$30</c:f>
              <c:numCache>
                <c:formatCode>General</c:formatCode>
                <c:ptCount val="1"/>
                <c:pt idx="0">
                  <c:v>0</c:v>
                </c:pt>
              </c:numCache>
            </c:numRef>
          </c:yVal>
          <c:smooth val="0"/>
          <c:extLst>
            <c:ext xmlns:c16="http://schemas.microsoft.com/office/drawing/2014/chart" uri="{C3380CC4-5D6E-409C-BE32-E72D297353CC}">
              <c16:uniqueId val="{00000479-4CE0-4897-AD24-1E35C72F64CA}"/>
            </c:ext>
          </c:extLst>
        </c:ser>
        <c:dLbls>
          <c:dLblPos val="t"/>
          <c:showLegendKey val="0"/>
          <c:showVal val="1"/>
          <c:showCatName val="0"/>
          <c:showSerName val="0"/>
          <c:showPercent val="0"/>
          <c:showBubbleSize val="0"/>
        </c:dLbls>
        <c:axId val="948481128"/>
        <c:axId val="524300464"/>
      </c:scatterChart>
      <c:valAx>
        <c:axId val="948481128"/>
        <c:scaling>
          <c:orientation val="maxMin"/>
          <c:max val="4"/>
        </c:scaling>
        <c:delete val="0"/>
        <c:axPos val="t"/>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de-DE" sz="2000"/>
                  <a:t>Prozessreifegrad Serie</a:t>
                </a:r>
              </a:p>
              <a:p>
                <a:pPr>
                  <a:defRPr sz="2000"/>
                </a:pPr>
                <a:r>
                  <a:rPr lang="de-DE" sz="2000"/>
                  <a:t>maturity degree of current series process</a:t>
                </a:r>
              </a:p>
            </c:rich>
          </c:tx>
          <c:layout/>
          <c:overlay val="0"/>
          <c:spPr>
            <a:noFill/>
            <a:ln>
              <a:noFill/>
            </a:ln>
            <a:effectLst/>
          </c:spPr>
          <c:txPr>
            <a:bodyPr rot="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de-DE"/>
          </a:p>
        </c:txPr>
        <c:crossAx val="524300464"/>
        <c:crosses val="autoZero"/>
        <c:crossBetween val="midCat"/>
        <c:majorUnit val="1"/>
      </c:valAx>
      <c:valAx>
        <c:axId val="524300464"/>
        <c:scaling>
          <c:orientation val="maxMin"/>
          <c:max val="3"/>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r>
                  <a:rPr lang="de-DE" sz="2000"/>
                  <a:t>Reifegrad Prozessentwicklung</a:t>
                </a:r>
              </a:p>
              <a:p>
                <a:pPr>
                  <a:defRPr sz="2000"/>
                </a:pPr>
                <a:r>
                  <a:rPr lang="de-DE" sz="2000"/>
                  <a:t>maturity degree of process develpment activity</a:t>
                </a:r>
              </a:p>
            </c:rich>
          </c:tx>
          <c:layout>
            <c:manualLayout>
              <c:xMode val="edge"/>
              <c:yMode val="edge"/>
              <c:x val="0.94214685942580068"/>
              <c:y val="0.18747190223725105"/>
            </c:manualLayout>
          </c:layout>
          <c:overlay val="0"/>
          <c:spPr>
            <a:noFill/>
            <a:ln>
              <a:noFill/>
            </a:ln>
            <a:effectLst/>
          </c:spPr>
          <c:txPr>
            <a:bodyPr rot="-5400000" spcFirstLastPara="1" vertOverflow="ellipsis" vert="horz" wrap="square" anchor="ctr" anchorCtr="1"/>
            <a:lstStyle/>
            <a:p>
              <a:pPr>
                <a:defRPr sz="2000" b="0" i="0" u="none" strike="noStrike" kern="1200" baseline="0">
                  <a:solidFill>
                    <a:schemeClr val="tx1">
                      <a:lumMod val="65000"/>
                      <a:lumOff val="35000"/>
                    </a:schemeClr>
                  </a:solidFill>
                  <a:latin typeface="+mn-lt"/>
                  <a:ea typeface="+mn-ea"/>
                  <a:cs typeface="+mn-cs"/>
                </a:defRPr>
              </a:pPr>
              <a:endParaRPr lang="de-DE"/>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2000" b="1" i="0" u="none" strike="noStrike" kern="1200" baseline="0">
                <a:solidFill>
                  <a:schemeClr val="tx1">
                    <a:lumMod val="65000"/>
                    <a:lumOff val="35000"/>
                  </a:schemeClr>
                </a:solidFill>
                <a:latin typeface="+mn-lt"/>
                <a:ea typeface="+mn-ea"/>
                <a:cs typeface="+mn-cs"/>
              </a:defRPr>
            </a:pPr>
            <a:endParaRPr lang="de-DE"/>
          </a:p>
        </c:txPr>
        <c:crossAx val="948481128"/>
        <c:crosses val="autoZero"/>
        <c:crossBetween val="midCat"/>
        <c:majorUnit val="1"/>
        <c:minorUnit val="1"/>
      </c:valAx>
      <c:spPr>
        <a:noFill/>
        <a:ln>
          <a:noFill/>
        </a:ln>
        <a:effectLst/>
      </c:spPr>
    </c:plotArea>
    <c:plotVisOnly val="1"/>
    <c:dispBlanksAs val="gap"/>
    <c:showDLblsOverMax val="0"/>
  </c:chart>
  <c:spPr>
    <a:solidFill>
      <a:srgbClr val="FF0000">
        <a:alpha val="0"/>
      </a:srgbClr>
    </a:solidFill>
    <a:ln w="12700" cap="flat" cmpd="sng" algn="ctr">
      <a:solidFill>
        <a:schemeClr val="tx1"/>
      </a:solidFill>
      <a:round/>
    </a:ln>
    <a:effectLst/>
  </c:spPr>
  <c:txPr>
    <a:bodyPr/>
    <a:lstStyle/>
    <a:p>
      <a:pPr>
        <a:defRPr sz="1500"/>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jpg"/></Relationships>
</file>

<file path=xl/drawings/_rels/drawing4.xml.rels><?xml version="1.0" encoding="UTF-8" standalone="yes"?>
<Relationships xmlns="http://schemas.openxmlformats.org/package/2006/relationships"><Relationship Id="rId8" Type="http://schemas.openxmlformats.org/officeDocument/2006/relationships/image" Target="../media/image12.png"/><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jpg"/><Relationship Id="rId1" Type="http://schemas.openxmlformats.org/officeDocument/2006/relationships/chart" Target="../charts/chart1.xml"/><Relationship Id="rId6" Type="http://schemas.openxmlformats.org/officeDocument/2006/relationships/image" Target="../media/image10.png"/><Relationship Id="rId11" Type="http://schemas.openxmlformats.org/officeDocument/2006/relationships/image" Target="../media/image15.png"/><Relationship Id="rId5" Type="http://schemas.openxmlformats.org/officeDocument/2006/relationships/image" Target="../media/image8.png"/><Relationship Id="rId10" Type="http://schemas.openxmlformats.org/officeDocument/2006/relationships/image" Target="../media/image14.png"/><Relationship Id="rId4" Type="http://schemas.openxmlformats.org/officeDocument/2006/relationships/image" Target="../media/image9.png"/><Relationship Id="rId9" Type="http://schemas.openxmlformats.org/officeDocument/2006/relationships/image" Target="../media/image13.png"/></Relationships>
</file>

<file path=xl/drawings/drawing1.xml><?xml version="1.0" encoding="utf-8"?>
<xdr:wsDr xmlns:xdr="http://schemas.openxmlformats.org/drawingml/2006/spreadsheetDrawing" xmlns:a="http://schemas.openxmlformats.org/drawingml/2006/main">
  <xdr:twoCellAnchor editAs="absolute">
    <xdr:from>
      <xdr:col>0</xdr:col>
      <xdr:colOff>45983</xdr:colOff>
      <xdr:row>0</xdr:row>
      <xdr:rowOff>52242</xdr:rowOff>
    </xdr:from>
    <xdr:to>
      <xdr:col>17</xdr:col>
      <xdr:colOff>505342</xdr:colOff>
      <xdr:row>45</xdr:row>
      <xdr:rowOff>54429</xdr:rowOff>
    </xdr:to>
    <xdr:grpSp>
      <xdr:nvGrpSpPr>
        <xdr:cNvPr id="2" name="Goup1"/>
        <xdr:cNvGrpSpPr>
          <a:grpSpLocks noChangeAspect="1"/>
        </xdr:cNvGrpSpPr>
      </xdr:nvGrpSpPr>
      <xdr:grpSpPr bwMode="auto">
        <a:xfrm>
          <a:off x="45983" y="52242"/>
          <a:ext cx="11998216" cy="8493044"/>
          <a:chOff x="39703" y="89647"/>
          <a:chExt cx="12539582" cy="8709212"/>
        </a:xfrm>
      </xdr:grpSpPr>
      <xdr:sp macro="" textlink="">
        <xdr:nvSpPr>
          <xdr:cNvPr id="3" name="blueframe2"/>
          <xdr:cNvSpPr/>
        </xdr:nvSpPr>
        <xdr:spPr bwMode="auto">
          <a:xfrm>
            <a:off x="55469" y="89647"/>
            <a:ext cx="12517530" cy="7745679"/>
          </a:xfrm>
          <a:prstGeom prst="round2SameRect">
            <a:avLst>
              <a:gd name="adj1" fmla="val 5721"/>
              <a:gd name="adj2" fmla="val 0"/>
            </a:avLst>
          </a:prstGeom>
          <a:noFill/>
          <a:ln w="28575" cap="flat" cmpd="sng" algn="ctr">
            <a:solidFill>
              <a:srgbClr val="1F4B7D"/>
            </a:solidFill>
            <a:prstDash val="solid"/>
            <a:round/>
            <a:headEnd type="none" w="med" len="med"/>
            <a:tailEnd type="none" w="med" len="med"/>
          </a:ln>
          <a:effectLst/>
        </xdr:spPr>
        <xdr:txBody>
          <a:bodyPr vertOverflow="clip" wrap="square" lIns="18288" tIns="0" rIns="0" bIns="0" rtlCol="0" anchor="ctr" upright="1"/>
          <a:lstStyle/>
          <a:p>
            <a:endParaRPr lang="en-US"/>
          </a:p>
        </xdr:txBody>
      </xdr:sp>
      <xdr:sp macro="" textlink="">
        <xdr:nvSpPr>
          <xdr:cNvPr id="4" name="blueframe1"/>
          <xdr:cNvSpPr/>
        </xdr:nvSpPr>
        <xdr:spPr bwMode="auto">
          <a:xfrm rot="10800000">
            <a:off x="39703" y="7769844"/>
            <a:ext cx="12539582" cy="1029015"/>
          </a:xfrm>
          <a:prstGeom prst="round2SameRect">
            <a:avLst>
              <a:gd name="adj1" fmla="val 45000"/>
              <a:gd name="adj2" fmla="val 0"/>
            </a:avLst>
          </a:prstGeom>
          <a:solidFill>
            <a:srgbClr val="1F497D"/>
          </a:solidFill>
          <a:ln w="9525"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endParaRPr lang="en-US">
              <a:solidFill>
                <a:srgbClr val="FF0000"/>
              </a:solidFill>
            </a:endParaRPr>
          </a:p>
        </xdr:txBody>
      </xdr:sp>
    </xdr:grpSp>
    <xdr:clientData/>
  </xdr:twoCellAnchor>
  <xdr:twoCellAnchor editAs="oneCell">
    <xdr:from>
      <xdr:col>3</xdr:col>
      <xdr:colOff>353786</xdr:colOff>
      <xdr:row>2</xdr:row>
      <xdr:rowOff>95250</xdr:rowOff>
    </xdr:from>
    <xdr:to>
      <xdr:col>10</xdr:col>
      <xdr:colOff>109523</xdr:colOff>
      <xdr:row>8</xdr:row>
      <xdr:rowOff>8321</xdr:rowOff>
    </xdr:to>
    <xdr:pic>
      <xdr:nvPicPr>
        <xdr:cNvPr id="5" name="Bosch_Logo"/>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4411" y="238125"/>
          <a:ext cx="4765887" cy="1113221"/>
        </a:xfrm>
        <a:prstGeom prst="rect">
          <a:avLst/>
        </a:prstGeom>
      </xdr:spPr>
    </xdr:pic>
    <xdr:clientData/>
  </xdr:twoCellAnchor>
  <xdr:twoCellAnchor editAs="oneCell">
    <xdr:from>
      <xdr:col>1</xdr:col>
      <xdr:colOff>6568</xdr:colOff>
      <xdr:row>38</xdr:row>
      <xdr:rowOff>124306</xdr:rowOff>
    </xdr:from>
    <xdr:to>
      <xdr:col>17</xdr:col>
      <xdr:colOff>476250</xdr:colOff>
      <xdr:row>40</xdr:row>
      <xdr:rowOff>43189</xdr:rowOff>
    </xdr:to>
    <xdr:pic>
      <xdr:nvPicPr>
        <xdr:cNvPr id="14" name="Rainbow"/>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243" y="7449031"/>
          <a:ext cx="11947307" cy="24273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15</xdr:col>
      <xdr:colOff>44824</xdr:colOff>
      <xdr:row>38</xdr:row>
      <xdr:rowOff>123265</xdr:rowOff>
    </xdr:from>
    <xdr:to>
      <xdr:col>17</xdr:col>
      <xdr:colOff>504265</xdr:colOff>
      <xdr:row>40</xdr:row>
      <xdr:rowOff>22411</xdr:rowOff>
    </xdr:to>
    <xdr:sp macro="" textlink="">
      <xdr:nvSpPr>
        <xdr:cNvPr id="15" name="Version"/>
        <xdr:cNvSpPr txBox="1"/>
      </xdr:nvSpPr>
      <xdr:spPr>
        <a:xfrm>
          <a:off x="11255749" y="7447990"/>
          <a:ext cx="792816" cy="2229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n-US" sz="1100">
              <a:solidFill>
                <a:schemeClr val="bg1"/>
              </a:solidFill>
            </a:rPr>
            <a:t>V3.0</a:t>
          </a:r>
        </a:p>
      </xdr:txBody>
    </xdr:sp>
    <xdr:clientData/>
  </xdr:twoCellAnchor>
  <xdr:twoCellAnchor editAs="oneCell">
    <xdr:from>
      <xdr:col>1</xdr:col>
      <xdr:colOff>176895</xdr:colOff>
      <xdr:row>14</xdr:row>
      <xdr:rowOff>136072</xdr:rowOff>
    </xdr:from>
    <xdr:to>
      <xdr:col>10</xdr:col>
      <xdr:colOff>622472</xdr:colOff>
      <xdr:row>37</xdr:row>
      <xdr:rowOff>15031</xdr:rowOff>
    </xdr:to>
    <xdr:pic>
      <xdr:nvPicPr>
        <xdr:cNvPr id="16" name="O_SimultaneousEngineering"/>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3570" y="2955472"/>
          <a:ext cx="6579677" cy="42223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17317</xdr:colOff>
      <xdr:row>2</xdr:row>
      <xdr:rowOff>0</xdr:rowOff>
    </xdr:from>
    <xdr:to>
      <xdr:col>19</xdr:col>
      <xdr:colOff>103909</xdr:colOff>
      <xdr:row>16</xdr:row>
      <xdr:rowOff>14345</xdr:rowOff>
    </xdr:to>
    <xdr:pic>
      <xdr:nvPicPr>
        <xdr:cNvPr id="3" name="Grafik 2"/>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1" r="-3906"/>
        <a:stretch/>
      </xdr:blipFill>
      <xdr:spPr bwMode="auto">
        <a:xfrm>
          <a:off x="9663544" y="0"/>
          <a:ext cx="11516592" cy="12378661"/>
        </a:xfrm>
        <a:prstGeom prst="rect">
          <a:avLst/>
        </a:prstGeom>
        <a:solidFill>
          <a:schemeClr val="bg1"/>
        </a:solidFill>
        <a:ln>
          <a:solidFill>
            <a:schemeClr val="tx1"/>
          </a:solidFill>
        </a:ln>
      </xdr:spPr>
    </xdr:pic>
    <xdr:clientData/>
  </xdr:twoCellAnchor>
  <xdr:twoCellAnchor editAs="oneCell">
    <xdr:from>
      <xdr:col>20</xdr:col>
      <xdr:colOff>0</xdr:colOff>
      <xdr:row>2</xdr:row>
      <xdr:rowOff>0</xdr:rowOff>
    </xdr:from>
    <xdr:to>
      <xdr:col>34</xdr:col>
      <xdr:colOff>111733</xdr:colOff>
      <xdr:row>15</xdr:row>
      <xdr:rowOff>119064</xdr:rowOff>
    </xdr:to>
    <xdr:pic>
      <xdr:nvPicPr>
        <xdr:cNvPr id="4" name="Grafik 3"/>
        <xdr:cNvPicPr>
          <a:picLocks noChangeAspect="1" noChangeArrowheads="1"/>
        </xdr:cNvPicPr>
      </xdr:nvPicPr>
      <xdr:blipFill rotWithShape="1">
        <a:blip xmlns:r="http://schemas.openxmlformats.org/officeDocument/2006/relationships" r:embed="rId2">
          <a:extLst>
            <a:ext uri="{28A0092B-C50C-407E-A947-70E740481C1C}">
              <a14:useLocalDpi xmlns:a14="http://schemas.microsoft.com/office/drawing/2010/main" val="0"/>
            </a:ext>
          </a:extLst>
        </a:blip>
        <a:srcRect r="-5122"/>
        <a:stretch/>
      </xdr:blipFill>
      <xdr:spPr bwMode="auto">
        <a:xfrm>
          <a:off x="21836063" y="381000"/>
          <a:ext cx="10779733" cy="12358688"/>
        </a:xfrm>
        <a:prstGeom prst="rect">
          <a:avLst/>
        </a:prstGeom>
        <a:solidFill>
          <a:schemeClr val="bg1"/>
        </a:solidFill>
        <a:ln>
          <a:solidFill>
            <a:schemeClr val="tx1"/>
          </a:solidFill>
        </a:ln>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68036</xdr:colOff>
      <xdr:row>0</xdr:row>
      <xdr:rowOff>40821</xdr:rowOff>
    </xdr:from>
    <xdr:to>
      <xdr:col>5</xdr:col>
      <xdr:colOff>1959428</xdr:colOff>
      <xdr:row>0</xdr:row>
      <xdr:rowOff>1110341</xdr:rowOff>
    </xdr:to>
    <xdr:grpSp>
      <xdr:nvGrpSpPr>
        <xdr:cNvPr id="2" name="Gruppieren 1"/>
        <xdr:cNvGrpSpPr/>
      </xdr:nvGrpSpPr>
      <xdr:grpSpPr>
        <a:xfrm>
          <a:off x="68036" y="40821"/>
          <a:ext cx="11329801" cy="1069520"/>
          <a:chOff x="0" y="0"/>
          <a:chExt cx="10894813" cy="1069520"/>
        </a:xfrm>
      </xdr:grpSpPr>
      <xdr:grpSp>
        <xdr:nvGrpSpPr>
          <xdr:cNvPr id="12" name="Group_Frame_Max"/>
          <xdr:cNvGrpSpPr/>
        </xdr:nvGrpSpPr>
        <xdr:grpSpPr>
          <a:xfrm>
            <a:off x="0" y="18595"/>
            <a:ext cx="10894813" cy="1050925"/>
            <a:chOff x="34827" y="13607"/>
            <a:chExt cx="17044415" cy="1050925"/>
          </a:xfrm>
        </xdr:grpSpPr>
        <xdr:sp macro="" textlink="">
          <xdr:nvSpPr>
            <xdr:cNvPr id="13" name="H_HeaderFrame"/>
            <xdr:cNvSpPr/>
          </xdr:nvSpPr>
          <xdr:spPr bwMode="auto">
            <a:xfrm>
              <a:off x="37906" y="13607"/>
              <a:ext cx="17041336" cy="1050925"/>
            </a:xfrm>
            <a:prstGeom prst="roundRect">
              <a:avLst/>
            </a:prstGeom>
            <a:solidFill>
              <a:sysClr val="window" lastClr="FFFFFF"/>
            </a:solidFill>
            <a:ln w="25400" cap="flat" cmpd="sng" algn="ctr">
              <a:solidFill>
                <a:srgbClr val="4F81BD">
                  <a:lumMod val="75000"/>
                </a:srgbClr>
              </a:solidFill>
              <a:prstDash val="solid"/>
              <a:headEnd type="none" w="med" len="med"/>
              <a:tailEnd type="none" w="med" len="med"/>
            </a:ln>
            <a:effectLst/>
          </xdr:spPr>
          <xdr:txBody>
            <a:bodyPr vert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DE" sz="1800" b="0" i="0" u="none" strike="noStrike" kern="0" cap="none" spc="0" normalizeH="0" baseline="0" noProof="0">
                  <a:ln>
                    <a:noFill/>
                  </a:ln>
                  <a:solidFill>
                    <a:sysClr val="window" lastClr="FFFFFF"/>
                  </a:solidFill>
                  <a:effectLst/>
                  <a:uLnTx/>
                  <a:uFillTx/>
                  <a:latin typeface="Calibri" panose="020F0502020204030204"/>
                  <a:ea typeface="+mn-ea"/>
                  <a:cs typeface="+mn-cs"/>
                </a:rPr>
                <a:t>Op</a:t>
              </a:r>
            </a:p>
          </xdr:txBody>
        </xdr:sp>
        <xdr:sp macro="" textlink="">
          <xdr:nvSpPr>
            <xdr:cNvPr id="19" name="H_HeaderFrame2"/>
            <xdr:cNvSpPr/>
          </xdr:nvSpPr>
          <xdr:spPr bwMode="auto">
            <a:xfrm flipV="1">
              <a:off x="34827" y="715686"/>
              <a:ext cx="17040128" cy="346482"/>
            </a:xfrm>
            <a:prstGeom prst="round2SameRect">
              <a:avLst>
                <a:gd name="adj1" fmla="val 50000"/>
                <a:gd name="adj2" fmla="val 0"/>
              </a:avLst>
            </a:prstGeom>
            <a:blipFill>
              <a:blip xmlns:r="http://schemas.openxmlformats.org/officeDocument/2006/relationships" r:embed="rId1"/>
              <a:stretch>
                <a:fillRect/>
              </a:stretch>
            </a:blipFill>
            <a:ln w="12700"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pPr marL="0" marR="0" lvl="0" indent="0" defTabSz="914400" eaLnBrk="1" fontAlgn="auto" latinLnBrk="0" hangingPunct="1">
                <a:lnSpc>
                  <a:spcPct val="100000"/>
                </a:lnSpc>
                <a:spcBef>
                  <a:spcPts val="0"/>
                </a:spcBef>
                <a:spcAft>
                  <a:spcPts val="0"/>
                </a:spcAft>
                <a:buClrTx/>
                <a:buSzTx/>
                <a:buFontTx/>
                <a:buNone/>
                <a:tabLst/>
                <a:defRPr/>
              </a:pPr>
              <a:endParaRPr kumimoji="0" lang="de-DE" sz="1000" b="0" i="0" u="none" strike="noStrike" kern="0" cap="none" spc="0" normalizeH="0" baseline="0" noProof="0">
                <a:ln>
                  <a:noFill/>
                </a:ln>
                <a:solidFill>
                  <a:sysClr val="window" lastClr="FFFFFF">
                    <a:lumMod val="100000"/>
                  </a:sysClr>
                </a:solidFill>
                <a:effectLst/>
                <a:uLnTx/>
                <a:uFillTx/>
                <a:latin typeface="Arial" panose="020B0604020202020204" pitchFamily="34" charset="0"/>
              </a:endParaRPr>
            </a:p>
          </xdr:txBody>
        </xdr:sp>
      </xdr:grpSp>
      <xdr:grpSp>
        <xdr:nvGrpSpPr>
          <xdr:cNvPr id="20" name="Group_Logos_Max"/>
          <xdr:cNvGrpSpPr/>
        </xdr:nvGrpSpPr>
        <xdr:grpSpPr>
          <a:xfrm>
            <a:off x="7392386" y="63288"/>
            <a:ext cx="3404539" cy="615060"/>
            <a:chOff x="6211622" y="52048"/>
            <a:chExt cx="3228820" cy="616550"/>
          </a:xfrm>
        </xdr:grpSpPr>
        <xdr:pic>
          <xdr:nvPicPr>
            <xdr:cNvPr id="21" name="H_BoschLogo"/>
            <xdr:cNvPicPr>
              <a:picLocks noChangeArrowheads="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1" r="-5010"/>
            <a:stretch/>
          </xdr:blipFill>
          <xdr:spPr bwMode="auto">
            <a:xfrm>
              <a:off x="7197537" y="94788"/>
              <a:ext cx="2242905" cy="541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3" name="HL_SimultaneousEngineering"/>
            <xdr:cNvPicPr preferRelativeResize="0">
              <a:picLocks/>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6211622" y="52048"/>
              <a:ext cx="887364" cy="616550"/>
            </a:xfrm>
            <a:prstGeom prst="rect">
              <a:avLst/>
            </a:prstGeom>
          </xdr:spPr>
        </xdr:pic>
      </xdr:grpSp>
      <xdr:sp macro="" textlink="cProject">
        <xdr:nvSpPr>
          <xdr:cNvPr id="30" name="H_HeaderSubTitle"/>
          <xdr:cNvSpPr txBox="1"/>
        </xdr:nvSpPr>
        <xdr:spPr bwMode="auto">
          <a:xfrm>
            <a:off x="357065" y="346461"/>
            <a:ext cx="7498552" cy="301239"/>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30570AE4-E7B1-4007-9A0A-366DA9E97830}" type="TxLink">
              <a:rPr kumimoji="0" lang="en-US" sz="2000" b="0" i="0" u="none" strike="noStrike" kern="0" cap="none" spc="0" normalizeH="0" baseline="0" noProof="0">
                <a:ln>
                  <a:noFill/>
                </a:ln>
                <a:solidFill>
                  <a:srgbClr val="808080"/>
                </a:solidFill>
                <a:effectLst/>
                <a:uLnTx/>
                <a:uFillTx/>
                <a:latin typeface="Arial"/>
                <a:ea typeface="+mn-ea"/>
                <a:cs typeface="Arial"/>
              </a:rPr>
              <a:t>Project Name</a:t>
            </a:fld>
            <a:endParaRPr kumimoji="0" lang="en-US" sz="2000" b="0" i="0" u="none" strike="noStrike" kern="0" cap="none" spc="0" normalizeH="0" baseline="0" noProof="0">
              <a:ln>
                <a:noFill/>
              </a:ln>
              <a:solidFill>
                <a:srgbClr val="808080"/>
              </a:solidFill>
              <a:effectLst/>
              <a:uLnTx/>
              <a:uFillTx/>
              <a:latin typeface="Arial"/>
              <a:ea typeface="+mn-ea"/>
              <a:cs typeface="Arial"/>
            </a:endParaRPr>
          </a:p>
        </xdr:txBody>
      </xdr:sp>
      <xdr:sp macro="" textlink="">
        <xdr:nvSpPr>
          <xdr:cNvPr id="31" name="H_HeaderTitle"/>
          <xdr:cNvSpPr txBox="1"/>
        </xdr:nvSpPr>
        <xdr:spPr bwMode="auto">
          <a:xfrm>
            <a:off x="203200" y="0"/>
            <a:ext cx="4807496" cy="380440"/>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89A77538-B056-451E-A612-1574DB58E0C3}" type="TxLink">
              <a:rPr kumimoji="0" lang="en-US" sz="2400" b="0" i="0" u="none" strike="noStrike" kern="0" cap="none" spc="0" normalizeH="0" baseline="0" noProof="0">
                <a:ln>
                  <a:noFill/>
                </a:ln>
                <a:solidFill>
                  <a:srgbClr val="44546A"/>
                </a:solidFill>
                <a:effectLst/>
                <a:uLnTx/>
                <a:uFillTx/>
                <a:latin typeface="Arial"/>
                <a:ea typeface="+mn-ea"/>
                <a:cs typeface="Arial"/>
              </a:rPr>
              <a:pPr marL="0" marR="0" lvl="0" indent="0" algn="l" defTabSz="914400" eaLnBrk="1" fontAlgn="auto" latinLnBrk="0" hangingPunct="1">
                <a:lnSpc>
                  <a:spcPct val="100000"/>
                </a:lnSpc>
                <a:spcBef>
                  <a:spcPts val="0"/>
                </a:spcBef>
                <a:spcAft>
                  <a:spcPts val="0"/>
                </a:spcAft>
                <a:buClrTx/>
                <a:buSzTx/>
                <a:buFontTx/>
                <a:buNone/>
                <a:tabLst/>
                <a:defRPr/>
              </a:pPr>
              <a:t>Process Risk Assesment</a:t>
            </a:fld>
            <a:endParaRPr kumimoji="0" lang="de-DE" sz="3200" b="1" i="0" u="none" strike="noStrike" kern="0" cap="none" spc="0" normalizeH="0" baseline="0" noProof="0">
              <a:ln>
                <a:noFill/>
              </a:ln>
              <a:solidFill>
                <a:srgbClr val="1F497D"/>
              </a:solidFill>
              <a:effectLst/>
              <a:uLnTx/>
              <a:uFillTx/>
              <a:latin typeface="Arial" panose="020B0604020202020204" pitchFamily="34" charset="0"/>
              <a:ea typeface="+mn-ea"/>
              <a:cs typeface="Arial" panose="020B0604020202020204" pitchFamily="34" charset="0"/>
            </a:endParaRP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183698</xdr:colOff>
      <xdr:row>1</xdr:row>
      <xdr:rowOff>40821</xdr:rowOff>
    </xdr:from>
    <xdr:to>
      <xdr:col>16</xdr:col>
      <xdr:colOff>190502</xdr:colOff>
      <xdr:row>43</xdr:row>
      <xdr:rowOff>108857</xdr:rowOff>
    </xdr:to>
    <xdr:grpSp>
      <xdr:nvGrpSpPr>
        <xdr:cNvPr id="2" name="Gruppieren 1"/>
        <xdr:cNvGrpSpPr/>
      </xdr:nvGrpSpPr>
      <xdr:grpSpPr>
        <a:xfrm>
          <a:off x="183698" y="1387928"/>
          <a:ext cx="11668125" cy="6926036"/>
          <a:chOff x="0" y="0"/>
          <a:chExt cx="11674929" cy="6926036"/>
        </a:xfrm>
      </xdr:grpSpPr>
      <xdr:grpSp>
        <xdr:nvGrpSpPr>
          <xdr:cNvPr id="12" name="Gruppieren 11"/>
          <xdr:cNvGrpSpPr/>
        </xdr:nvGrpSpPr>
        <xdr:grpSpPr>
          <a:xfrm>
            <a:off x="163286" y="1279067"/>
            <a:ext cx="10347832" cy="5442857"/>
            <a:chOff x="163286" y="966106"/>
            <a:chExt cx="10347832" cy="5442857"/>
          </a:xfrm>
        </xdr:grpSpPr>
        <xdr:sp macro="" textlink="">
          <xdr:nvSpPr>
            <xdr:cNvPr id="13" name="Rechteck 12"/>
            <xdr:cNvSpPr/>
          </xdr:nvSpPr>
          <xdr:spPr>
            <a:xfrm>
              <a:off x="5345207" y="966107"/>
              <a:ext cx="5159508" cy="2687010"/>
            </a:xfrm>
            <a:prstGeom prst="rect">
              <a:avLst/>
            </a:prstGeom>
            <a:solidFill>
              <a:srgbClr val="FF0000">
                <a:alpha val="36000"/>
              </a:srgbClr>
            </a:solidFill>
            <a:ln>
              <a:solidFill>
                <a:schemeClr val="accent1">
                  <a:shade val="50000"/>
                  <a:alpha val="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de-DE"/>
            </a:p>
          </xdr:txBody>
        </xdr:sp>
        <xdr:sp macro="" textlink="">
          <xdr:nvSpPr>
            <xdr:cNvPr id="14" name="L-Form 13"/>
            <xdr:cNvSpPr/>
          </xdr:nvSpPr>
          <xdr:spPr>
            <a:xfrm>
              <a:off x="2803071" y="979714"/>
              <a:ext cx="7708047" cy="4567197"/>
            </a:xfrm>
            <a:prstGeom prst="corner">
              <a:avLst>
                <a:gd name="adj1" fmla="val 41455"/>
                <a:gd name="adj2" fmla="val 55514"/>
              </a:avLst>
            </a:prstGeom>
            <a:solidFill>
              <a:srgbClr val="FFC000">
                <a:alpha val="34000"/>
              </a:srgbClr>
            </a:solidFill>
            <a:ln>
              <a:solidFill>
                <a:schemeClr val="accent1">
                  <a:shade val="50000"/>
                  <a:alpha val="1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de-DE"/>
            </a:p>
          </xdr:txBody>
        </xdr:sp>
        <xdr:sp macro="" textlink="">
          <xdr:nvSpPr>
            <xdr:cNvPr id="15" name="L-Form 14"/>
            <xdr:cNvSpPr/>
          </xdr:nvSpPr>
          <xdr:spPr>
            <a:xfrm>
              <a:off x="163286" y="966106"/>
              <a:ext cx="10327821" cy="5442857"/>
            </a:xfrm>
            <a:prstGeom prst="corner">
              <a:avLst>
                <a:gd name="adj1" fmla="val 16189"/>
                <a:gd name="adj2" fmla="val 48386"/>
              </a:avLst>
            </a:prstGeom>
            <a:solidFill>
              <a:srgbClr val="92D050">
                <a:alpha val="34000"/>
              </a:srgbClr>
            </a:solidFill>
            <a:ln>
              <a:solidFill>
                <a:schemeClr val="accent1">
                  <a:shade val="50000"/>
                  <a:alpha val="1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wrap="square"/>
            <a:lstStyle>
              <a:lvl1pPr marL="0" indent="0">
                <a:defRPr sz="1100">
                  <a:solidFill>
                    <a:schemeClr val="lt1"/>
                  </a:solidFill>
                  <a:latin typeface="+mn-lt"/>
                  <a:ea typeface="+mn-ea"/>
                  <a:cs typeface="+mn-cs"/>
                </a:defRPr>
              </a:lvl1pPr>
              <a:lvl2pPr marL="457200" indent="0">
                <a:defRPr sz="1100">
                  <a:solidFill>
                    <a:schemeClr val="lt1"/>
                  </a:solidFill>
                  <a:latin typeface="+mn-lt"/>
                  <a:ea typeface="+mn-ea"/>
                  <a:cs typeface="+mn-cs"/>
                </a:defRPr>
              </a:lvl2pPr>
              <a:lvl3pPr marL="914400" indent="0">
                <a:defRPr sz="1100">
                  <a:solidFill>
                    <a:schemeClr val="lt1"/>
                  </a:solidFill>
                  <a:latin typeface="+mn-lt"/>
                  <a:ea typeface="+mn-ea"/>
                  <a:cs typeface="+mn-cs"/>
                </a:defRPr>
              </a:lvl3pPr>
              <a:lvl4pPr marL="1371600" indent="0">
                <a:defRPr sz="1100">
                  <a:solidFill>
                    <a:schemeClr val="lt1"/>
                  </a:solidFill>
                  <a:latin typeface="+mn-lt"/>
                  <a:ea typeface="+mn-ea"/>
                  <a:cs typeface="+mn-cs"/>
                </a:defRPr>
              </a:lvl4pPr>
              <a:lvl5pPr marL="1828800" indent="0">
                <a:defRPr sz="1100">
                  <a:solidFill>
                    <a:schemeClr val="lt1"/>
                  </a:solidFill>
                  <a:latin typeface="+mn-lt"/>
                  <a:ea typeface="+mn-ea"/>
                  <a:cs typeface="+mn-cs"/>
                </a:defRPr>
              </a:lvl5pPr>
              <a:lvl6pPr marL="2286000" indent="0">
                <a:defRPr sz="1100">
                  <a:solidFill>
                    <a:schemeClr val="lt1"/>
                  </a:solidFill>
                  <a:latin typeface="+mn-lt"/>
                  <a:ea typeface="+mn-ea"/>
                  <a:cs typeface="+mn-cs"/>
                </a:defRPr>
              </a:lvl6pPr>
              <a:lvl7pPr marL="2743200" indent="0">
                <a:defRPr sz="1100">
                  <a:solidFill>
                    <a:schemeClr val="lt1"/>
                  </a:solidFill>
                  <a:latin typeface="+mn-lt"/>
                  <a:ea typeface="+mn-ea"/>
                  <a:cs typeface="+mn-cs"/>
                </a:defRPr>
              </a:lvl7pPr>
              <a:lvl8pPr marL="3200400" indent="0">
                <a:defRPr sz="1100">
                  <a:solidFill>
                    <a:schemeClr val="lt1"/>
                  </a:solidFill>
                  <a:latin typeface="+mn-lt"/>
                  <a:ea typeface="+mn-ea"/>
                  <a:cs typeface="+mn-cs"/>
                </a:defRPr>
              </a:lvl8pPr>
              <a:lvl9pPr marL="3657600" indent="0">
                <a:defRPr sz="1100">
                  <a:solidFill>
                    <a:schemeClr val="lt1"/>
                  </a:solidFill>
                  <a:latin typeface="+mn-lt"/>
                  <a:ea typeface="+mn-ea"/>
                  <a:cs typeface="+mn-cs"/>
                </a:defRPr>
              </a:lvl9pPr>
            </a:lstStyle>
            <a:p>
              <a:endParaRPr lang="de-DE"/>
            </a:p>
          </xdr:txBody>
        </xdr:sp>
      </xdr:grpSp>
      <xdr:graphicFrame macro="">
        <xdr:nvGraphicFramePr>
          <xdr:cNvPr id="11" name="Risk_Chart"/>
          <xdr:cNvGraphicFramePr>
            <a:graphicFrameLocks noChangeAspect="1"/>
          </xdr:cNvGraphicFramePr>
        </xdr:nvGraphicFramePr>
        <xdr:xfrm>
          <a:off x="0" y="0"/>
          <a:ext cx="11674929" cy="6926036"/>
        </xdr:xfrm>
        <a:graphic>
          <a:graphicData uri="http://schemas.openxmlformats.org/drawingml/2006/chart">
            <c:chart xmlns:c="http://schemas.openxmlformats.org/drawingml/2006/chart" xmlns:r="http://schemas.openxmlformats.org/officeDocument/2006/relationships" r:id="rId1"/>
          </a:graphicData>
        </a:graphic>
      </xdr:graphicFrame>
    </xdr:grpSp>
    <xdr:clientData/>
  </xdr:twoCellAnchor>
  <xdr:twoCellAnchor>
    <xdr:from>
      <xdr:col>1</xdr:col>
      <xdr:colOff>163286</xdr:colOff>
      <xdr:row>0</xdr:row>
      <xdr:rowOff>68036</xdr:rowOff>
    </xdr:from>
    <xdr:to>
      <xdr:col>15</xdr:col>
      <xdr:colOff>390099</xdr:colOff>
      <xdr:row>0</xdr:row>
      <xdr:rowOff>1137556</xdr:rowOff>
    </xdr:to>
    <xdr:grpSp>
      <xdr:nvGrpSpPr>
        <xdr:cNvPr id="34" name="Gruppieren 33"/>
        <xdr:cNvGrpSpPr/>
      </xdr:nvGrpSpPr>
      <xdr:grpSpPr>
        <a:xfrm>
          <a:off x="394607" y="68036"/>
          <a:ext cx="10894813" cy="1069520"/>
          <a:chOff x="0" y="0"/>
          <a:chExt cx="10894813" cy="1069520"/>
        </a:xfrm>
      </xdr:grpSpPr>
      <xdr:grpSp>
        <xdr:nvGrpSpPr>
          <xdr:cNvPr id="35" name="Group_Frame_Max"/>
          <xdr:cNvGrpSpPr/>
        </xdr:nvGrpSpPr>
        <xdr:grpSpPr>
          <a:xfrm>
            <a:off x="0" y="18595"/>
            <a:ext cx="10894813" cy="1050925"/>
            <a:chOff x="34827" y="13607"/>
            <a:chExt cx="17044415" cy="1050925"/>
          </a:xfrm>
        </xdr:grpSpPr>
        <xdr:sp macro="" textlink="">
          <xdr:nvSpPr>
            <xdr:cNvPr id="48" name="H_HeaderFrame"/>
            <xdr:cNvSpPr/>
          </xdr:nvSpPr>
          <xdr:spPr bwMode="auto">
            <a:xfrm>
              <a:off x="37906" y="13607"/>
              <a:ext cx="17041336" cy="1050925"/>
            </a:xfrm>
            <a:prstGeom prst="roundRect">
              <a:avLst/>
            </a:prstGeom>
            <a:solidFill>
              <a:sysClr val="window" lastClr="FFFFFF"/>
            </a:solidFill>
            <a:ln w="25400" cap="flat" cmpd="sng" algn="ctr">
              <a:solidFill>
                <a:srgbClr val="4F81BD">
                  <a:lumMod val="75000"/>
                </a:srgbClr>
              </a:solidFill>
              <a:prstDash val="solid"/>
              <a:headEnd type="none" w="med" len="med"/>
              <a:tailEnd type="none" w="med" len="med"/>
            </a:ln>
            <a:effectLst/>
          </xdr:spPr>
          <xdr:txBody>
            <a:bodyPr vertOverflow="clip" wrap="square" lIns="18288" tIns="0" rIns="0" bIns="0" rtlCol="0" anchor="ctr" upright="1"/>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e-DE" sz="1800" b="0" i="0" u="none" strike="noStrike" kern="0" cap="none" spc="0" normalizeH="0" baseline="0" noProof="0">
                  <a:ln>
                    <a:noFill/>
                  </a:ln>
                  <a:solidFill>
                    <a:sysClr val="window" lastClr="FFFFFF"/>
                  </a:solidFill>
                  <a:effectLst/>
                  <a:uLnTx/>
                  <a:uFillTx/>
                  <a:latin typeface="Calibri" panose="020F0502020204030204"/>
                  <a:ea typeface="+mn-ea"/>
                  <a:cs typeface="+mn-cs"/>
                </a:rPr>
                <a:t>Op</a:t>
              </a:r>
            </a:p>
          </xdr:txBody>
        </xdr:sp>
        <xdr:sp macro="" textlink="">
          <xdr:nvSpPr>
            <xdr:cNvPr id="49" name="H_HeaderFrame2"/>
            <xdr:cNvSpPr/>
          </xdr:nvSpPr>
          <xdr:spPr bwMode="auto">
            <a:xfrm flipV="1">
              <a:off x="34827" y="715686"/>
              <a:ext cx="17040128" cy="346482"/>
            </a:xfrm>
            <a:prstGeom prst="round2SameRect">
              <a:avLst>
                <a:gd name="adj1" fmla="val 50000"/>
                <a:gd name="adj2" fmla="val 0"/>
              </a:avLst>
            </a:prstGeom>
            <a:blipFill>
              <a:blip xmlns:r="http://schemas.openxmlformats.org/officeDocument/2006/relationships" r:embed="rId2"/>
              <a:stretch>
                <a:fillRect/>
              </a:stretch>
            </a:blipFill>
            <a:ln w="12700" cap="flat" cmpd="sng" algn="ctr">
              <a:solidFill>
                <a:srgbClr val="1F497D"/>
              </a:solidFill>
              <a:prstDash val="solid"/>
              <a:round/>
              <a:headEnd type="none" w="med" len="med"/>
              <a:tailEnd type="none" w="med" len="med"/>
            </a:ln>
            <a:effectLst/>
          </xdr:spPr>
          <xdr:txBody>
            <a:bodyPr vertOverflow="clip" wrap="square" lIns="18288" tIns="0" rIns="0" bIns="0" rtlCol="0" anchor="ctr" upright="1"/>
            <a:lstStyle/>
            <a:p>
              <a:pPr marL="0" marR="0" lvl="0" indent="0" defTabSz="914400" eaLnBrk="1" fontAlgn="auto" latinLnBrk="0" hangingPunct="1">
                <a:lnSpc>
                  <a:spcPct val="100000"/>
                </a:lnSpc>
                <a:spcBef>
                  <a:spcPts val="0"/>
                </a:spcBef>
                <a:spcAft>
                  <a:spcPts val="0"/>
                </a:spcAft>
                <a:buClrTx/>
                <a:buSzTx/>
                <a:buFontTx/>
                <a:buNone/>
                <a:tabLst/>
                <a:defRPr/>
              </a:pPr>
              <a:endParaRPr kumimoji="0" lang="de-DE" sz="1000" b="0" i="0" u="none" strike="noStrike" kern="0" cap="none" spc="0" normalizeH="0" baseline="0" noProof="0">
                <a:ln>
                  <a:noFill/>
                </a:ln>
                <a:solidFill>
                  <a:sysClr val="window" lastClr="FFFFFF">
                    <a:lumMod val="100000"/>
                  </a:sysClr>
                </a:solidFill>
                <a:effectLst/>
                <a:uLnTx/>
                <a:uFillTx/>
                <a:latin typeface="Arial" panose="020B0604020202020204" pitchFamily="34" charset="0"/>
              </a:endParaRPr>
            </a:p>
          </xdr:txBody>
        </xdr:sp>
      </xdr:grpSp>
      <xdr:grpSp>
        <xdr:nvGrpSpPr>
          <xdr:cNvPr id="36" name="Group_Logos_Max"/>
          <xdr:cNvGrpSpPr/>
        </xdr:nvGrpSpPr>
        <xdr:grpSpPr>
          <a:xfrm>
            <a:off x="7246887" y="57635"/>
            <a:ext cx="3647926" cy="655007"/>
            <a:chOff x="6073635" y="46381"/>
            <a:chExt cx="3459647" cy="656593"/>
          </a:xfrm>
        </xdr:grpSpPr>
        <xdr:pic>
          <xdr:nvPicPr>
            <xdr:cNvPr id="39" name="H_BoschLogo"/>
            <xdr:cNvPicPr>
              <a:picLocks noChangeArrowheads="1"/>
            </xdr:cNvPicPr>
          </xdr:nvPicPr>
          <xdr:blipFill rotWithShape="1">
            <a:blip xmlns:r="http://schemas.openxmlformats.org/officeDocument/2006/relationships" r:embed="rId3" cstate="print">
              <a:extLst>
                <a:ext uri="{28A0092B-C50C-407E-A947-70E740481C1C}">
                  <a14:useLocalDpi xmlns:a14="http://schemas.microsoft.com/office/drawing/2010/main" val="0"/>
                </a:ext>
              </a:extLst>
            </a:blip>
            <a:srcRect l="-1" r="-5010"/>
            <a:stretch/>
          </xdr:blipFill>
          <xdr:spPr bwMode="auto">
            <a:xfrm>
              <a:off x="7128585" y="94788"/>
              <a:ext cx="2404697" cy="541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0" name="HL_Training" hidden="1"/>
            <xdr:cNvPicPr preferRelativeResize="0">
              <a:picLocks/>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073635" y="54974"/>
              <a:ext cx="1020002" cy="648000"/>
            </a:xfrm>
            <a:prstGeom prst="rect">
              <a:avLst/>
            </a:prstGeom>
          </xdr:spPr>
        </xdr:pic>
        <xdr:pic>
          <xdr:nvPicPr>
            <xdr:cNvPr id="41" name="HL_SimultaneousEngineering"/>
            <xdr:cNvPicPr preferRelativeResize="0">
              <a:picLocks/>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073635" y="49962"/>
              <a:ext cx="1020002" cy="648000"/>
            </a:xfrm>
            <a:prstGeom prst="rect">
              <a:avLst/>
            </a:prstGeom>
          </xdr:spPr>
        </xdr:pic>
        <xdr:pic>
          <xdr:nvPicPr>
            <xdr:cNvPr id="42" name="HL_ProjectManagement" hidden="1"/>
            <xdr:cNvPicPr preferRelativeResize="0">
              <a:picLocks/>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6073635" y="47311"/>
              <a:ext cx="1020002" cy="648000"/>
            </a:xfrm>
            <a:prstGeom prst="rect">
              <a:avLst/>
            </a:prstGeom>
          </xdr:spPr>
        </xdr:pic>
        <xdr:pic>
          <xdr:nvPicPr>
            <xdr:cNvPr id="43" name="HL_ProcessOptimization" hidden="1"/>
            <xdr:cNvPicPr preferRelativeResize="0">
              <a:picLocks/>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073635" y="51143"/>
              <a:ext cx="1020002" cy="648000"/>
            </a:xfrm>
            <a:prstGeom prst="rect">
              <a:avLst/>
            </a:prstGeom>
          </xdr:spPr>
        </xdr:pic>
        <xdr:pic>
          <xdr:nvPicPr>
            <xdr:cNvPr id="44" name="HL_ConnectedIndustrie4.0" hidden="1"/>
            <xdr:cNvPicPr preferRelativeResize="0">
              <a:picLocks/>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073635" y="46381"/>
              <a:ext cx="1020002" cy="648000"/>
            </a:xfrm>
            <a:prstGeom prst="rect">
              <a:avLst/>
            </a:prstGeom>
          </xdr:spPr>
        </xdr:pic>
        <xdr:pic>
          <xdr:nvPicPr>
            <xdr:cNvPr id="45" name="HL_Manufacturing" hidden="1"/>
            <xdr:cNvPicPr preferRelativeResize="0">
              <a:picLocks/>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6073635" y="46381"/>
              <a:ext cx="1020002" cy="648000"/>
            </a:xfrm>
            <a:prstGeom prst="rect">
              <a:avLst/>
            </a:prstGeom>
          </xdr:spPr>
        </xdr:pic>
        <xdr:pic>
          <xdr:nvPicPr>
            <xdr:cNvPr id="46" name="HL_CMPELogo" hidden="1"/>
            <xdr:cNvPicPr preferRelativeResize="0">
              <a:picLocks/>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6093512" y="49651"/>
              <a:ext cx="1011002" cy="648000"/>
            </a:xfrm>
            <a:prstGeom prst="rect">
              <a:avLst/>
            </a:prstGeom>
          </xdr:spPr>
        </xdr:pic>
        <xdr:pic>
          <xdr:nvPicPr>
            <xdr:cNvPr id="47" name="HL_BPS" hidden="1"/>
            <xdr:cNvPicPr preferRelativeResize="0">
              <a:picLocks/>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083962" y="47867"/>
              <a:ext cx="1020002" cy="648000"/>
            </a:xfrm>
            <a:prstGeom prst="rect">
              <a:avLst/>
            </a:prstGeom>
          </xdr:spPr>
        </xdr:pic>
      </xdr:grpSp>
      <xdr:sp macro="" textlink="">
        <xdr:nvSpPr>
          <xdr:cNvPr id="37" name="H_HeaderSubTitle"/>
          <xdr:cNvSpPr txBox="1"/>
        </xdr:nvSpPr>
        <xdr:spPr bwMode="auto">
          <a:xfrm>
            <a:off x="357065" y="346461"/>
            <a:ext cx="7498552" cy="301239"/>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0" cap="none" spc="0" normalizeH="0" baseline="0" noProof="0">
                <a:ln>
                  <a:noFill/>
                </a:ln>
                <a:solidFill>
                  <a:srgbClr val="808080"/>
                </a:solidFill>
                <a:effectLst/>
                <a:uLnTx/>
                <a:uFillTx/>
                <a:latin typeface="Arial"/>
                <a:ea typeface="+mn-ea"/>
                <a:cs typeface="Arial"/>
              </a:rPr>
              <a:t>Project name</a:t>
            </a:r>
          </a:p>
        </xdr:txBody>
      </xdr:sp>
      <xdr:sp macro="" textlink="">
        <xdr:nvSpPr>
          <xdr:cNvPr id="38" name="H_HeaderTitle"/>
          <xdr:cNvSpPr txBox="1"/>
        </xdr:nvSpPr>
        <xdr:spPr bwMode="auto">
          <a:xfrm>
            <a:off x="203200" y="0"/>
            <a:ext cx="4807496" cy="380440"/>
          </a:xfrm>
          <a:prstGeom prst="rect">
            <a:avLst/>
          </a:prstGeom>
          <a:noFill/>
          <a:ln>
            <a:noFill/>
          </a:ln>
          <a:effectLst/>
        </xdr:spPr>
        <xdr:txBody>
          <a:bodyPr vertOverflow="clip" wrap="square" lIns="0" tIns="0" rIns="0" bIns="0" rtlCol="0" anchor="ctr">
            <a:noAutofit/>
          </a:bodyPr>
          <a:lstStyle/>
          <a:p>
            <a:pPr marL="0" marR="0" lvl="0" indent="0" algn="l" defTabSz="914400" eaLnBrk="1" fontAlgn="auto" latinLnBrk="0" hangingPunct="1">
              <a:lnSpc>
                <a:spcPct val="100000"/>
              </a:lnSpc>
              <a:spcBef>
                <a:spcPts val="0"/>
              </a:spcBef>
              <a:spcAft>
                <a:spcPts val="0"/>
              </a:spcAft>
              <a:buClrTx/>
              <a:buSzTx/>
              <a:buFontTx/>
              <a:buNone/>
              <a:tabLst/>
              <a:defRPr/>
            </a:pPr>
            <a:fld id="{89A77538-B056-451E-A612-1574DB58E0C3}" type="TxLink">
              <a:rPr kumimoji="0" lang="en-US" sz="2400" b="0" i="0" u="none" strike="noStrike" kern="0" cap="none" spc="0" normalizeH="0" baseline="0" noProof="0">
                <a:ln>
                  <a:noFill/>
                </a:ln>
                <a:solidFill>
                  <a:srgbClr val="44546A"/>
                </a:solidFill>
                <a:effectLst/>
                <a:uLnTx/>
                <a:uFillTx/>
                <a:latin typeface="Arial"/>
                <a:ea typeface="+mn-ea"/>
                <a:cs typeface="Arial"/>
              </a:rPr>
              <a:pPr marL="0" marR="0" lvl="0" indent="0" algn="l" defTabSz="914400" eaLnBrk="1" fontAlgn="auto" latinLnBrk="0" hangingPunct="1">
                <a:lnSpc>
                  <a:spcPct val="100000"/>
                </a:lnSpc>
                <a:spcBef>
                  <a:spcPts val="0"/>
                </a:spcBef>
                <a:spcAft>
                  <a:spcPts val="0"/>
                </a:spcAft>
                <a:buClrTx/>
                <a:buSzTx/>
                <a:buFontTx/>
                <a:buNone/>
                <a:tabLst/>
                <a:defRPr/>
              </a:pPr>
              <a:t>Process Risk Assesment</a:t>
            </a:fld>
            <a:endParaRPr kumimoji="0" lang="de-DE" sz="3200" b="1" i="0" u="none" strike="noStrike" kern="0" cap="none" spc="0" normalizeH="0" baseline="0" noProof="0">
              <a:ln>
                <a:noFill/>
              </a:ln>
              <a:solidFill>
                <a:srgbClr val="1F497D"/>
              </a:solidFill>
              <a:effectLst/>
              <a:uLnTx/>
              <a:uFillTx/>
              <a:latin typeface="Arial" panose="020B0604020202020204" pitchFamily="34" charset="0"/>
              <a:ea typeface="+mn-ea"/>
              <a:cs typeface="Arial" panose="020B0604020202020204" pitchFamily="34" charset="0"/>
            </a:endParaRPr>
          </a:p>
        </xdr:txBody>
      </xdr:sp>
    </xdr:grp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19"/>
  <sheetViews>
    <sheetView workbookViewId="0">
      <selection activeCell="E34" sqref="E34"/>
    </sheetView>
  </sheetViews>
  <sheetFormatPr defaultColWidth="11.42578125" defaultRowHeight="12.75" x14ac:dyDescent="0.2"/>
  <cols>
    <col min="1" max="6" width="17.28515625" customWidth="1"/>
  </cols>
  <sheetData>
    <row r="1" spans="1:6" ht="13.5" thickBot="1" x14ac:dyDescent="0.25">
      <c r="A1" t="s">
        <v>8</v>
      </c>
      <c r="D1" t="s">
        <v>72</v>
      </c>
    </row>
    <row r="2" spans="1:6" ht="38.25" x14ac:dyDescent="0.2">
      <c r="A2" s="5" t="s">
        <v>73</v>
      </c>
      <c r="B2" s="4" t="s">
        <v>11</v>
      </c>
      <c r="C2" s="6" t="s">
        <v>12</v>
      </c>
      <c r="D2" s="5" t="s">
        <v>41</v>
      </c>
      <c r="E2" s="4" t="s">
        <v>40</v>
      </c>
      <c r="F2" s="6" t="s">
        <v>42</v>
      </c>
    </row>
    <row r="3" spans="1:6" ht="25.5" x14ac:dyDescent="0.2">
      <c r="A3" s="9" t="s">
        <v>14</v>
      </c>
      <c r="B3" s="8" t="s">
        <v>13</v>
      </c>
      <c r="C3" s="10"/>
      <c r="D3" s="9" t="s">
        <v>14</v>
      </c>
      <c r="E3" s="8" t="s">
        <v>43</v>
      </c>
      <c r="F3" s="10"/>
    </row>
    <row r="4" spans="1:6" ht="38.25" x14ac:dyDescent="0.2">
      <c r="A4" s="9" t="s">
        <v>16</v>
      </c>
      <c r="B4" s="8" t="s">
        <v>15</v>
      </c>
      <c r="C4" s="10"/>
      <c r="D4" s="9" t="s">
        <v>16</v>
      </c>
      <c r="E4" s="8" t="s">
        <v>44</v>
      </c>
      <c r="F4" s="10"/>
    </row>
    <row r="5" spans="1:6" ht="51" x14ac:dyDescent="0.2">
      <c r="A5" s="9" t="s">
        <v>18</v>
      </c>
      <c r="B5" s="8" t="s">
        <v>17</v>
      </c>
      <c r="C5" s="10"/>
      <c r="D5" s="9" t="s">
        <v>46</v>
      </c>
      <c r="E5" s="8" t="s">
        <v>45</v>
      </c>
      <c r="F5" s="10"/>
    </row>
    <row r="6" spans="1:6" ht="51" x14ac:dyDescent="0.2">
      <c r="A6" s="9" t="s">
        <v>20</v>
      </c>
      <c r="B6" s="8" t="s">
        <v>19</v>
      </c>
      <c r="C6" s="10"/>
      <c r="D6" s="9" t="s">
        <v>48</v>
      </c>
      <c r="E6" s="8" t="s">
        <v>47</v>
      </c>
      <c r="F6" s="10"/>
    </row>
    <row r="7" spans="1:6" ht="89.25" x14ac:dyDescent="0.2">
      <c r="A7" s="9" t="s">
        <v>22</v>
      </c>
      <c r="B7" s="8" t="s">
        <v>21</v>
      </c>
      <c r="C7" s="10"/>
      <c r="D7" s="9" t="s">
        <v>22</v>
      </c>
      <c r="E7" s="8" t="s">
        <v>49</v>
      </c>
      <c r="F7" s="10"/>
    </row>
    <row r="8" spans="1:6" ht="114.75" x14ac:dyDescent="0.2">
      <c r="A8" s="9" t="s">
        <v>24</v>
      </c>
      <c r="B8" s="8" t="s">
        <v>23</v>
      </c>
      <c r="C8" s="10"/>
      <c r="D8" s="9" t="s">
        <v>24</v>
      </c>
      <c r="E8" s="8" t="s">
        <v>50</v>
      </c>
      <c r="F8" s="10"/>
    </row>
    <row r="9" spans="1:6" ht="89.25" x14ac:dyDescent="0.2">
      <c r="A9" s="9" t="s">
        <v>38</v>
      </c>
      <c r="B9" s="8" t="s">
        <v>25</v>
      </c>
      <c r="C9" s="10"/>
      <c r="D9" s="9" t="s">
        <v>38</v>
      </c>
      <c r="E9" s="8" t="s">
        <v>51</v>
      </c>
      <c r="F9" s="10"/>
    </row>
    <row r="10" spans="1:6" ht="331.5" x14ac:dyDescent="0.2">
      <c r="A10" s="9" t="s">
        <v>29</v>
      </c>
      <c r="B10" s="8" t="s">
        <v>26</v>
      </c>
      <c r="C10" s="11" t="s">
        <v>27</v>
      </c>
      <c r="D10" s="9" t="s">
        <v>55</v>
      </c>
      <c r="E10" s="8" t="s">
        <v>52</v>
      </c>
      <c r="F10" s="11" t="s">
        <v>53</v>
      </c>
    </row>
    <row r="11" spans="1:6" ht="409.5" x14ac:dyDescent="0.2">
      <c r="A11" s="9" t="s">
        <v>32</v>
      </c>
      <c r="B11" s="8" t="s">
        <v>28</v>
      </c>
      <c r="C11" s="11" t="s">
        <v>30</v>
      </c>
      <c r="D11" s="9" t="s">
        <v>58</v>
      </c>
      <c r="E11" s="8" t="s">
        <v>54</v>
      </c>
      <c r="F11" s="11" t="s">
        <v>56</v>
      </c>
    </row>
    <row r="12" spans="1:6" ht="409.5" x14ac:dyDescent="0.2">
      <c r="A12" s="9" t="s">
        <v>34</v>
      </c>
      <c r="B12" s="12" t="s">
        <v>31</v>
      </c>
      <c r="C12" s="11" t="s">
        <v>71</v>
      </c>
      <c r="D12" s="9" t="s">
        <v>60</v>
      </c>
      <c r="E12" s="12" t="s">
        <v>57</v>
      </c>
      <c r="F12" s="11" t="s">
        <v>69</v>
      </c>
    </row>
    <row r="13" spans="1:6" ht="114.75" x14ac:dyDescent="0.2">
      <c r="A13" s="14" t="s">
        <v>37</v>
      </c>
      <c r="B13" s="13" t="s">
        <v>33</v>
      </c>
      <c r="C13" s="15" t="s">
        <v>35</v>
      </c>
      <c r="D13" s="14" t="s">
        <v>63</v>
      </c>
      <c r="E13" s="13" t="s">
        <v>59</v>
      </c>
      <c r="F13" s="15" t="s">
        <v>61</v>
      </c>
    </row>
    <row r="14" spans="1:6" ht="192" thickBot="1" x14ac:dyDescent="0.25">
      <c r="A14" s="17" t="s">
        <v>39</v>
      </c>
      <c r="B14" s="16" t="s">
        <v>36</v>
      </c>
      <c r="C14" s="18" t="s">
        <v>70</v>
      </c>
      <c r="D14" s="17" t="s">
        <v>64</v>
      </c>
      <c r="E14" s="16" t="s">
        <v>62</v>
      </c>
      <c r="F14" s="18" t="s">
        <v>68</v>
      </c>
    </row>
    <row r="15" spans="1:6" ht="13.5" thickBot="1" x14ac:dyDescent="0.25"/>
    <row r="16" spans="1:6" ht="13.5" thickBot="1" x14ac:dyDescent="0.25">
      <c r="A16" s="29" t="s">
        <v>74</v>
      </c>
    </row>
    <row r="17" spans="1:3" x14ac:dyDescent="0.2">
      <c r="A17" s="28">
        <v>1</v>
      </c>
      <c r="B17" s="2">
        <v>1</v>
      </c>
      <c r="C17" s="2" t="s">
        <v>8</v>
      </c>
    </row>
    <row r="18" spans="1:3" x14ac:dyDescent="0.2">
      <c r="A18" s="2">
        <v>2</v>
      </c>
      <c r="B18" s="2">
        <v>3</v>
      </c>
      <c r="C18" s="2" t="s">
        <v>9</v>
      </c>
    </row>
    <row r="19" spans="1:3" x14ac:dyDescent="0.2">
      <c r="A19" s="2">
        <v>3</v>
      </c>
    </row>
  </sheetData>
  <dataValidations count="1">
    <dataValidation type="list" allowBlank="1" showDropDown="1" showInputMessage="1" showErrorMessage="1" sqref="A17">
      <formula1>$A$41</formula1>
    </dataValidation>
  </dataValidations>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Cover"/>
  <dimension ref="A1:AE61"/>
  <sheetViews>
    <sheetView showGridLines="0" zoomScale="70" zoomScaleNormal="70" zoomScaleSheetLayoutView="70" workbookViewId="0">
      <selection activeCell="E13" sqref="E13:F13"/>
    </sheetView>
  </sheetViews>
  <sheetFormatPr defaultColWidth="0" defaultRowHeight="0" customHeight="1" zeroHeight="1" x14ac:dyDescent="0.2"/>
  <cols>
    <col min="1" max="1" width="1" style="35" customWidth="1"/>
    <col min="2" max="2" width="5.42578125" style="35" customWidth="1"/>
    <col min="3" max="3" width="11.42578125" style="35" customWidth="1"/>
    <col min="4" max="4" width="5.7109375" style="35" customWidth="1"/>
    <col min="5" max="5" width="11.42578125" style="35" customWidth="1"/>
    <col min="6" max="6" width="8" style="35" customWidth="1"/>
    <col min="7" max="7" width="11.42578125" style="35" customWidth="1"/>
    <col min="8" max="8" width="15.7109375" style="35" bestFit="1" customWidth="1"/>
    <col min="9" max="12" width="11.42578125" style="35" customWidth="1"/>
    <col min="13" max="13" width="17" style="35" customWidth="1"/>
    <col min="14" max="14" width="11.42578125" style="35" customWidth="1"/>
    <col min="15" max="15" width="23.85546875" style="35" customWidth="1"/>
    <col min="16" max="16" width="2.28515625" style="35" customWidth="1"/>
    <col min="17" max="17" width="2.7109375" style="35" customWidth="1"/>
    <col min="18" max="18" width="7.85546875" style="35" customWidth="1"/>
    <col min="19" max="16384" width="0" style="35" hidden="1"/>
  </cols>
  <sheetData>
    <row r="1" spans="1:17" ht="6.75" customHeight="1" x14ac:dyDescent="0.2">
      <c r="A1" s="34"/>
    </row>
    <row r="2" spans="1:17" ht="4.5" customHeight="1" x14ac:dyDescent="0.2">
      <c r="A2" s="34"/>
    </row>
    <row r="3" spans="1:17" ht="21" customHeight="1" x14ac:dyDescent="0.35">
      <c r="A3" s="34"/>
      <c r="B3" s="34"/>
      <c r="C3" s="34"/>
      <c r="H3" s="72"/>
      <c r="I3" s="72"/>
      <c r="J3" s="72"/>
      <c r="K3" s="72"/>
      <c r="L3" s="72"/>
      <c r="M3" s="72"/>
      <c r="N3" s="72"/>
      <c r="O3" s="72"/>
      <c r="P3" s="72"/>
    </row>
    <row r="4" spans="1:17" ht="21" x14ac:dyDescent="0.35">
      <c r="A4" s="34"/>
      <c r="H4" s="72"/>
      <c r="I4" s="72"/>
      <c r="J4" s="72"/>
      <c r="K4" s="72"/>
      <c r="L4" s="72"/>
      <c r="M4" s="72"/>
      <c r="N4" s="72"/>
      <c r="O4" s="72"/>
      <c r="P4" s="72"/>
    </row>
    <row r="5" spans="1:17" ht="12.75" x14ac:dyDescent="0.2">
      <c r="A5" s="34"/>
    </row>
    <row r="6" spans="1:17" ht="14.25" x14ac:dyDescent="0.2">
      <c r="A6" s="34"/>
      <c r="M6" s="36"/>
    </row>
    <row r="7" spans="1:17" ht="12.75" x14ac:dyDescent="0.2">
      <c r="A7" s="34"/>
    </row>
    <row r="8" spans="1:17" ht="12.75" x14ac:dyDescent="0.2">
      <c r="A8" s="34"/>
    </row>
    <row r="9" spans="1:17" ht="23.25" customHeight="1" x14ac:dyDescent="0.4">
      <c r="A9" s="34"/>
      <c r="K9" s="37"/>
      <c r="L9" s="38"/>
    </row>
    <row r="10" spans="1:17" ht="22.5" customHeight="1" x14ac:dyDescent="0.35">
      <c r="C10" s="39"/>
      <c r="D10" s="40"/>
      <c r="E10" s="73" t="s">
        <v>83</v>
      </c>
      <c r="F10" s="73"/>
      <c r="G10" s="73"/>
      <c r="H10" s="73"/>
      <c r="I10" s="73"/>
      <c r="J10" s="73"/>
      <c r="K10" s="40"/>
      <c r="L10" s="41"/>
      <c r="M10" s="42"/>
      <c r="N10" s="42"/>
      <c r="O10" s="42"/>
      <c r="P10" s="42"/>
      <c r="Q10" s="42"/>
    </row>
    <row r="11" spans="1:17" ht="4.5" customHeight="1" thickBot="1" x14ac:dyDescent="0.3">
      <c r="B11" s="43"/>
      <c r="C11" s="43"/>
      <c r="D11" s="43"/>
      <c r="E11" s="43"/>
      <c r="F11" s="43"/>
      <c r="G11" s="43"/>
      <c r="H11" s="43"/>
      <c r="I11" s="43"/>
      <c r="J11" s="43"/>
      <c r="L11" s="41"/>
      <c r="M11" s="42"/>
      <c r="N11" s="42"/>
      <c r="O11" s="42"/>
      <c r="P11" s="42"/>
      <c r="Q11" s="42"/>
    </row>
    <row r="12" spans="1:17" ht="25.5" x14ac:dyDescent="0.35">
      <c r="E12" s="74" t="s">
        <v>129</v>
      </c>
      <c r="F12" s="74"/>
      <c r="G12" s="74"/>
      <c r="H12" s="74"/>
      <c r="I12" s="74"/>
      <c r="J12" s="74"/>
      <c r="L12" s="44"/>
      <c r="M12" s="45"/>
      <c r="N12" s="45"/>
      <c r="O12" s="45"/>
      <c r="P12" s="45"/>
      <c r="Q12" s="45"/>
    </row>
    <row r="13" spans="1:17" ht="25.5" x14ac:dyDescent="0.35">
      <c r="E13" s="75" t="s">
        <v>84</v>
      </c>
      <c r="F13" s="75"/>
      <c r="G13" s="75" t="s">
        <v>8</v>
      </c>
      <c r="H13" s="75"/>
      <c r="I13" s="46"/>
      <c r="J13" s="46"/>
      <c r="L13" s="44"/>
      <c r="M13" s="45"/>
      <c r="N13" s="45"/>
      <c r="O13" s="45"/>
      <c r="P13" s="45"/>
      <c r="Q13" s="45"/>
    </row>
    <row r="14" spans="1:17" ht="15" x14ac:dyDescent="0.25">
      <c r="L14" s="44"/>
      <c r="M14" s="45"/>
      <c r="N14" s="47"/>
      <c r="O14" s="45"/>
      <c r="P14" s="45"/>
      <c r="Q14" s="45"/>
    </row>
    <row r="15" spans="1:17" ht="14.25" x14ac:dyDescent="0.2">
      <c r="L15" s="44"/>
      <c r="M15" s="45"/>
      <c r="N15" s="45"/>
      <c r="O15" s="45"/>
      <c r="P15" s="45"/>
      <c r="Q15" s="45"/>
    </row>
    <row r="16" spans="1:17" ht="14.25" x14ac:dyDescent="0.2">
      <c r="L16" s="44"/>
      <c r="M16" s="45"/>
      <c r="N16" s="45"/>
      <c r="O16" s="45"/>
      <c r="P16" s="45"/>
      <c r="Q16" s="45"/>
    </row>
    <row r="17" spans="6:31" ht="14.25" x14ac:dyDescent="0.2">
      <c r="L17" s="44"/>
      <c r="M17" s="45"/>
      <c r="N17" s="45"/>
      <c r="O17" s="45"/>
      <c r="P17" s="45"/>
      <c r="Q17" s="45"/>
    </row>
    <row r="18" spans="6:31" ht="14.25" x14ac:dyDescent="0.2">
      <c r="L18" s="44"/>
      <c r="M18" s="45"/>
      <c r="N18" s="45"/>
      <c r="O18" s="45"/>
      <c r="P18" s="45"/>
      <c r="Q18" s="45"/>
    </row>
    <row r="19" spans="6:31" ht="14.25" x14ac:dyDescent="0.2">
      <c r="L19" s="44"/>
      <c r="M19" s="45"/>
      <c r="N19" s="45"/>
      <c r="O19" s="45"/>
      <c r="P19" s="45"/>
      <c r="Q19" s="45"/>
    </row>
    <row r="20" spans="6:31" ht="14.25" x14ac:dyDescent="0.2">
      <c r="L20" s="44"/>
      <c r="M20" s="45"/>
      <c r="N20" s="45"/>
      <c r="O20" s="45"/>
      <c r="P20" s="45"/>
      <c r="Q20" s="45"/>
    </row>
    <row r="21" spans="6:31" ht="12.75" x14ac:dyDescent="0.2">
      <c r="M21" s="48"/>
      <c r="N21" s="48"/>
      <c r="O21" s="49"/>
      <c r="P21" s="48"/>
      <c r="Q21" s="48"/>
    </row>
    <row r="22" spans="6:31" ht="12.75" x14ac:dyDescent="0.2">
      <c r="N22" s="39"/>
    </row>
    <row r="23" spans="6:31" ht="22.5" x14ac:dyDescent="0.2">
      <c r="P23" s="50"/>
      <c r="Q23" s="50"/>
      <c r="R23" s="50"/>
      <c r="S23" s="50"/>
      <c r="T23" s="50"/>
      <c r="U23" s="50"/>
      <c r="V23" s="50"/>
      <c r="W23" s="50"/>
      <c r="X23" s="50"/>
      <c r="Y23" s="50"/>
      <c r="Z23" s="50"/>
      <c r="AA23" s="50"/>
      <c r="AB23" s="50"/>
      <c r="AC23" s="50"/>
      <c r="AD23" s="50"/>
      <c r="AE23" s="50"/>
    </row>
    <row r="24" spans="6:31" ht="21" x14ac:dyDescent="0.35">
      <c r="F24" s="51"/>
      <c r="G24" s="51"/>
      <c r="H24" s="52"/>
      <c r="N24" s="39"/>
      <c r="P24" s="53"/>
      <c r="Q24" s="53"/>
      <c r="R24" s="53"/>
      <c r="S24" s="53"/>
      <c r="T24" s="53"/>
      <c r="U24" s="53"/>
      <c r="V24" s="53"/>
      <c r="W24" s="53"/>
      <c r="X24" s="53"/>
      <c r="Y24" s="53"/>
      <c r="Z24" s="53"/>
      <c r="AA24" s="53"/>
      <c r="AB24" s="53"/>
      <c r="AC24" s="53"/>
      <c r="AD24" s="53"/>
      <c r="AE24" s="53"/>
    </row>
    <row r="25" spans="6:31" ht="21" x14ac:dyDescent="0.35">
      <c r="F25" s="51"/>
      <c r="G25" s="51"/>
      <c r="H25" s="52"/>
      <c r="P25" s="53"/>
      <c r="Q25" s="53"/>
      <c r="R25" s="53"/>
      <c r="S25" s="53"/>
      <c r="T25" s="53"/>
      <c r="U25" s="53"/>
      <c r="V25" s="53"/>
      <c r="W25" s="53"/>
      <c r="X25" s="53"/>
      <c r="Y25" s="53"/>
      <c r="Z25" s="53"/>
      <c r="AA25" s="53"/>
      <c r="AB25" s="53"/>
      <c r="AC25" s="53"/>
      <c r="AD25" s="53"/>
      <c r="AE25" s="53"/>
    </row>
    <row r="26" spans="6:31" ht="12.75" x14ac:dyDescent="0.2">
      <c r="P26" s="53"/>
      <c r="Q26" s="53"/>
      <c r="R26" s="53"/>
      <c r="S26" s="53"/>
      <c r="T26" s="53"/>
      <c r="U26" s="53"/>
      <c r="V26" s="53"/>
      <c r="W26" s="53"/>
      <c r="X26" s="53"/>
      <c r="Y26" s="53"/>
      <c r="Z26" s="53"/>
      <c r="AA26" s="53"/>
      <c r="AB26" s="53"/>
      <c r="AC26" s="53"/>
      <c r="AD26" s="53"/>
      <c r="AE26" s="53"/>
    </row>
    <row r="27" spans="6:31" ht="18.75" customHeight="1" x14ac:dyDescent="0.2">
      <c r="P27" s="54"/>
      <c r="Q27" s="55"/>
      <c r="R27" s="55"/>
      <c r="S27" s="55"/>
      <c r="T27" s="55"/>
      <c r="U27" s="55"/>
      <c r="V27" s="55"/>
      <c r="W27" s="53"/>
      <c r="X27" s="53"/>
      <c r="Y27" s="53"/>
      <c r="Z27" s="53"/>
      <c r="AA27" s="53"/>
      <c r="AB27" s="53"/>
      <c r="AC27" s="53"/>
      <c r="AD27" s="53"/>
      <c r="AE27" s="53"/>
    </row>
    <row r="28" spans="6:31" ht="12.75" customHeight="1" x14ac:dyDescent="0.2">
      <c r="P28" s="54"/>
      <c r="Q28" s="55"/>
      <c r="R28" s="53"/>
      <c r="S28" s="53"/>
      <c r="T28" s="53"/>
      <c r="U28" s="53"/>
      <c r="V28" s="53"/>
      <c r="W28" s="53"/>
      <c r="X28" s="53"/>
      <c r="Y28" s="53"/>
      <c r="Z28" s="53"/>
      <c r="AA28" s="53"/>
      <c r="AB28" s="53"/>
      <c r="AC28" s="53"/>
      <c r="AD28" s="53"/>
      <c r="AE28" s="53"/>
    </row>
    <row r="29" spans="6:31" ht="21" customHeight="1" x14ac:dyDescent="0.35">
      <c r="M29" s="56" t="s">
        <v>83</v>
      </c>
      <c r="N29" s="50"/>
      <c r="O29" s="50"/>
      <c r="Q29" s="57"/>
      <c r="R29" s="57"/>
      <c r="S29" s="53"/>
      <c r="T29" s="53"/>
      <c r="U29" s="53"/>
      <c r="V29" s="53"/>
      <c r="W29" s="53"/>
      <c r="X29" s="53"/>
      <c r="Y29" s="53"/>
      <c r="Z29" s="53"/>
      <c r="AA29" s="53"/>
      <c r="AB29" s="53"/>
      <c r="AC29" s="53"/>
      <c r="AD29" s="53"/>
      <c r="AE29" s="53"/>
    </row>
    <row r="30" spans="6:31" ht="12.75" customHeight="1" x14ac:dyDescent="0.35">
      <c r="M30" s="53"/>
      <c r="N30" s="53"/>
      <c r="O30" s="53"/>
      <c r="P30" s="58"/>
    </row>
    <row r="31" spans="6:31" ht="12.75" x14ac:dyDescent="0.2">
      <c r="M31" s="71" t="s">
        <v>89</v>
      </c>
      <c r="N31" s="71"/>
      <c r="O31" s="71"/>
      <c r="Q31" s="59"/>
    </row>
    <row r="32" spans="6:31" ht="12.75" x14ac:dyDescent="0.2">
      <c r="M32" s="53"/>
      <c r="N32" s="53"/>
      <c r="O32" s="53"/>
    </row>
    <row r="33" spans="13:17" ht="12.75" x14ac:dyDescent="0.2">
      <c r="M33" s="69" t="s">
        <v>85</v>
      </c>
      <c r="N33" s="60" t="s">
        <v>86</v>
      </c>
      <c r="O33" s="61"/>
      <c r="P33" s="62"/>
    </row>
    <row r="34" spans="13:17" ht="12.75" x14ac:dyDescent="0.2">
      <c r="M34" s="68" t="s">
        <v>87</v>
      </c>
      <c r="N34" s="63" t="s">
        <v>88</v>
      </c>
      <c r="O34" s="64"/>
      <c r="P34" s="65"/>
    </row>
    <row r="35" spans="13:17" ht="12" customHeight="1" x14ac:dyDescent="0.2">
      <c r="Q35" s="62"/>
    </row>
    <row r="36" spans="13:17" ht="12.75" x14ac:dyDescent="0.2"/>
    <row r="37" spans="13:17" ht="12.75" x14ac:dyDescent="0.2"/>
    <row r="38" spans="13:17" ht="12.75" x14ac:dyDescent="0.2">
      <c r="O38" s="66"/>
    </row>
    <row r="39" spans="13:17" ht="12.75" x14ac:dyDescent="0.2"/>
    <row r="40" spans="13:17" ht="12.75" x14ac:dyDescent="0.2"/>
    <row r="41" spans="13:17" ht="12.75" x14ac:dyDescent="0.2"/>
    <row r="42" spans="13:17" ht="12.75" x14ac:dyDescent="0.2"/>
    <row r="43" spans="13:17" ht="12.75" x14ac:dyDescent="0.2"/>
    <row r="44" spans="13:17" ht="12.75" x14ac:dyDescent="0.2"/>
    <row r="45" spans="13:17" ht="12.75" x14ac:dyDescent="0.2"/>
    <row r="46" spans="13:17" ht="9.75" customHeight="1" x14ac:dyDescent="0.2"/>
    <row r="47" spans="13:17" ht="12.75" hidden="1" customHeight="1" x14ac:dyDescent="0.2"/>
    <row r="48" spans="13:17" ht="12.75" hidden="1" customHeight="1" x14ac:dyDescent="0.2"/>
    <row r="49" spans="31:31" ht="12.75" hidden="1" customHeight="1" x14ac:dyDescent="0.2"/>
    <row r="50" spans="31:31" ht="12.75" hidden="1" customHeight="1" x14ac:dyDescent="0.2"/>
    <row r="51" spans="31:31" ht="12.75" hidden="1" customHeight="1" x14ac:dyDescent="0.2"/>
    <row r="52" spans="31:31" ht="12.75" hidden="1" customHeight="1" x14ac:dyDescent="0.2"/>
    <row r="53" spans="31:31" ht="12.75" hidden="1" customHeight="1" x14ac:dyDescent="0.2"/>
    <row r="54" spans="31:31" ht="12.75" hidden="1" customHeight="1" x14ac:dyDescent="0.2"/>
    <row r="55" spans="31:31" ht="12.75" hidden="1" customHeight="1" x14ac:dyDescent="0.2"/>
    <row r="56" spans="31:31" ht="12.75" hidden="1" customHeight="1" x14ac:dyDescent="0.2"/>
    <row r="57" spans="31:31" ht="12.75" hidden="1" customHeight="1" x14ac:dyDescent="0.2">
      <c r="AE57" s="67"/>
    </row>
    <row r="58" spans="31:31" ht="12.75" hidden="1" customHeight="1" x14ac:dyDescent="0.2"/>
    <row r="59" spans="31:31" ht="12.75" hidden="1" customHeight="1" x14ac:dyDescent="0.2"/>
    <row r="60" spans="31:31" ht="12.75" hidden="1" customHeight="1" x14ac:dyDescent="0.2"/>
    <row r="61" spans="31:31" ht="12.75" hidden="1" customHeight="1" x14ac:dyDescent="0.2">
      <c r="AE61" s="67"/>
    </row>
  </sheetData>
  <mergeCells count="7">
    <mergeCell ref="M31:O31"/>
    <mergeCell ref="H3:P3"/>
    <mergeCell ref="H4:P4"/>
    <mergeCell ref="E10:J10"/>
    <mergeCell ref="E12:J12"/>
    <mergeCell ref="E13:F13"/>
    <mergeCell ref="G13:H13"/>
  </mergeCells>
  <dataValidations count="1">
    <dataValidation type="list" allowBlank="1" showInputMessage="1" showErrorMessage="1" sqref="G13">
      <formula1>"Deutsch, English"</formula1>
    </dataValidation>
  </dataValidations>
  <pageMargins left="0.70866141732283505" right="0.70866141732283505" top="0.78740157480314998" bottom="0.78740157480314998" header="0.31496062992126" footer="0.31496062992126"/>
  <pageSetup paperSize="9" scale="34" orientation="landscape" r:id="rId1"/>
  <headerFooter>
    <oddFooter>&amp;C\\FE02FS22.de.bosch.com\CMPE_Praktikanten$\Widmann\Tool_Optimization\001_In_Progress\Process risk analysis&amp;L9/14/2017&amp;RFIXED-TERM Kodihalli Basavarajappa Ranjith (C/MPE)</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C15"/>
  <sheetViews>
    <sheetView zoomScale="85" zoomScaleNormal="85" workbookViewId="0">
      <pane ySplit="1" topLeftCell="A2" activePane="bottomLeft" state="frozen"/>
      <selection pane="bottomLeft" activeCell="B1" sqref="B1"/>
    </sheetView>
  </sheetViews>
  <sheetFormatPr defaultColWidth="11.42578125" defaultRowHeight="12.75" x14ac:dyDescent="0.2"/>
  <cols>
    <col min="1" max="1" width="33.5703125" bestFit="1" customWidth="1"/>
    <col min="2" max="2" width="55.85546875" style="19" customWidth="1"/>
    <col min="3" max="3" width="43.85546875" customWidth="1"/>
  </cols>
  <sheetData>
    <row r="1" spans="1:3" ht="26.25" customHeight="1" thickBot="1" x14ac:dyDescent="0.25">
      <c r="A1" s="24" t="s">
        <v>10</v>
      </c>
      <c r="B1" s="70" t="str">
        <f>Overview!cLanguage</f>
        <v>Deutsch</v>
      </c>
    </row>
    <row r="2" spans="1:3" ht="6.75" customHeight="1" thickBot="1" x14ac:dyDescent="0.25">
      <c r="A2" s="26"/>
      <c r="B2" s="27"/>
      <c r="C2" s="26"/>
    </row>
    <row r="3" spans="1:3" s="7" customFormat="1" ht="25.5" x14ac:dyDescent="0.2">
      <c r="A3" s="5" t="str">
        <f>IF($B$1="English",Sprachetabelle!D2,Sprachetabelle!A2)</f>
        <v>Zeile in Prozess Reifegrad Bewertunbg</v>
      </c>
      <c r="B3" s="4" t="str">
        <f>IF($B$1="English",Sprachetabelle!E2,Sprachetabelle!B2)</f>
        <v>Inhalt</v>
      </c>
      <c r="C3" s="6" t="str">
        <f>IF($B$1="English",Sprachetabelle!F2,Sprachetabelle!C2)</f>
        <v>Bemerkung</v>
      </c>
    </row>
    <row r="4" spans="1:3" x14ac:dyDescent="0.2">
      <c r="A4" s="9" t="str">
        <f>IF($B$1="English",Sprachetabelle!D3,Sprachetabelle!A3)</f>
        <v>No.1-4</v>
      </c>
      <c r="B4" s="8" t="str">
        <f>IF($B$1="English",Sprachetabelle!E3,Sprachetabelle!B3)</f>
        <v>Prozess-Details beschreiben</v>
      </c>
      <c r="C4" s="25">
        <f>IF($B$1="English",Sprachetabelle!F3,Sprachetabelle!C3)</f>
        <v>0</v>
      </c>
    </row>
    <row r="5" spans="1:3" x14ac:dyDescent="0.2">
      <c r="A5" s="9" t="str">
        <f>IF($B$1="English",Sprachetabelle!D4,Sprachetabelle!A4)</f>
        <v>No.5-6</v>
      </c>
      <c r="B5" s="8" t="str">
        <f>IF($B$1="English",Sprachetabelle!E4,Sprachetabelle!B4)</f>
        <v xml:space="preserve">aktuelle Verfügbarkeit der Prozesse bewerten </v>
      </c>
      <c r="C5" s="25">
        <f>IF($B$1="English",Sprachetabelle!F4,Sprachetabelle!C4)</f>
        <v>0</v>
      </c>
    </row>
    <row r="6" spans="1:3" x14ac:dyDescent="0.2">
      <c r="A6" s="9" t="str">
        <f>IF($B$1="English",Sprachetabelle!D5,Sprachetabelle!A5)</f>
        <v>No.7; ausfüllen wenn No.6=1 oder 2</v>
      </c>
      <c r="B6" s="8" t="str">
        <f>IF($B$1="English",Sprachetabelle!E5,Sprachetabelle!B5)</f>
        <v>neue Prozesse bewerten bzgl. Neuheitsgrad</v>
      </c>
      <c r="C6" s="25">
        <f>IF($B$1="English",Sprachetabelle!F5,Sprachetabelle!C5)</f>
        <v>0</v>
      </c>
    </row>
    <row r="7" spans="1:3" x14ac:dyDescent="0.2">
      <c r="A7" s="9" t="str">
        <f>IF($B$1="English",Sprachetabelle!D6,Sprachetabelle!A6)</f>
        <v>No.8-14; ausfüllen wenn No.6=2 oder 3</v>
      </c>
      <c r="B7" s="8" t="str">
        <f>IF($B$1="English",Sprachetabelle!E6,Sprachetabelle!B6)</f>
        <v xml:space="preserve">Reifegrad der existierenden Serienprozesse bewerten </v>
      </c>
      <c r="C7" s="25">
        <f>IF($B$1="English",Sprachetabelle!F6,Sprachetabelle!C6)</f>
        <v>0</v>
      </c>
    </row>
    <row r="8" spans="1:3" ht="25.5" x14ac:dyDescent="0.2">
      <c r="A8" s="9" t="str">
        <f>IF($B$1="English",Sprachetabelle!D7,Sprachetabelle!A7)</f>
        <v>No.15</v>
      </c>
      <c r="B8" s="8" t="str">
        <f>IF($B$1="English",Sprachetabelle!E7,Sprachetabelle!B7)</f>
        <v xml:space="preserve">qualitative Beschreibung der Risiken als Zusammenfassung/Begründung für Bewertungen in No.7-14 </v>
      </c>
      <c r="C8" s="25">
        <f>IF($B$1="English",Sprachetabelle!F7,Sprachetabelle!C7)</f>
        <v>0</v>
      </c>
    </row>
    <row r="9" spans="1:3" ht="38.25" x14ac:dyDescent="0.2">
      <c r="A9" s="9" t="str">
        <f>IF($B$1="English",Sprachetabelle!D8,Sprachetabelle!A8)</f>
        <v>No.16-22</v>
      </c>
      <c r="B9" s="8" t="str">
        <f>IF($B$1="English",Sprachetabelle!E8,Sprachetabelle!B8)</f>
        <v>Details und Rahmenbedingung für Prozessentwicklung beschreiben + Aufwand anhand Ergebnisse aus No.15 abschätzen</v>
      </c>
      <c r="C9" s="25">
        <f>IF($B$1="English",Sprachetabelle!F8,Sprachetabelle!C8)</f>
        <v>0</v>
      </c>
    </row>
    <row r="10" spans="1:3" ht="25.5" x14ac:dyDescent="0.2">
      <c r="A10" s="9" t="str">
        <f>IF($B$1="English",Sprachetabelle!D9,Sprachetabelle!A9)</f>
        <v>No. 23-25</v>
      </c>
      <c r="B10" s="8" t="str">
        <f>IF($B$1="English",Sprachetabelle!E9,Sprachetabelle!B9)</f>
        <v xml:space="preserve">Reifegrad / Risiko von Prozessentwicklung anhand Ergebnisse aus No.16-22 abschätzen </v>
      </c>
      <c r="C10" s="25">
        <f>IF($B$1="English",Sprachetabelle!F9,Sprachetabelle!C9)</f>
        <v>0</v>
      </c>
    </row>
    <row r="11" spans="1:3" ht="127.5" x14ac:dyDescent="0.2">
      <c r="A11" s="9" t="str">
        <f>IF($B$1="English",Sprachetabelle!D10,Sprachetabelle!A10)</f>
        <v>No.26 (automatisch berechnet)</v>
      </c>
      <c r="B11" s="8" t="str">
        <f>IF($B$1="English",Sprachetabelle!E10,Sprachetabelle!B10)</f>
        <v>Risikoniveau/Gefährdung für Musterphase = Ergebnis aus No.5</v>
      </c>
      <c r="C11" s="11" t="str">
        <f>IF($B$1="English",Sprachetabelle!F10,Sprachetabelle!C10)</f>
        <v>Interpretation der Bewertungsergebnisse:
x=3 -&gt; Einrichtungen Verfügbar / Fertigbar ab sofort
x=2 -&gt; Einrichtungen nicht Verfügbar / Kleine Investition notw. / Zetischiene Unkritisch
x=1 -&gt; Einrichtungen nicht Verfügbar / große Investition notw. / Zetischiene kritisch</v>
      </c>
    </row>
    <row r="12" spans="1:3" ht="248.25" customHeight="1" x14ac:dyDescent="0.2">
      <c r="A12" s="9" t="str">
        <f>IF($B$1="English",Sprachetabelle!D11,Sprachetabelle!A11)</f>
        <v>No.27 (automatisch berechnet)</v>
      </c>
      <c r="B12" s="8" t="str">
        <f>IF($B$1="English",Sprachetabelle!E11,Sprachetabelle!B11)</f>
        <v>ProessReifegrad für Serie = Verfügbarkeit existierender Serienprozesse + (Reifegrad der existierender Serienprozesse * Neuheitsgrad der neuen Prozesse)</v>
      </c>
      <c r="C12" s="11" t="str">
        <f>IF($B$1="English",Sprachetabelle!F11,Sprachetabelle!C11)</f>
        <v>Interpretation der Bewertungsergebnisse:
x=4 -&gt; volle Reifegrad, direkt übertragbare Serienprozess vorhanden + Serienprozess verfügt über hohe Reifegrade gemäß Kriterien aus No.8-14
3&lt;x&lt;4 -&gt; direkt übertragbare Serienprozess vorhanden. Serienprozesse weisen Probleme auf gemäß Bewertung aus No.8-14
2&lt;x&lt;3 -&gt; nur bedingt übertragbare Prozesse in der Serie vorhanden. Adaptierung/Modifikation notwendig. Serienprozesse weisen evtl. Probleme auf gemäß Bewertung aus No.8-14
x=1 -&gt; Serienprozess nicht übertragbar. Keine vergleichbare Prozesse in der Serien vorhanden</v>
      </c>
    </row>
    <row r="13" spans="1:3" ht="318.75" x14ac:dyDescent="0.2">
      <c r="A13" s="9" t="str">
        <f>IF($B$1="English",Sprachetabelle!D12,Sprachetabelle!A12)</f>
        <v>No.28 (automatisch berechnet)</v>
      </c>
      <c r="B13" s="12" t="str">
        <f>IF($B$1="English",Sprachetabelle!E12,Sprachetabelle!B12)</f>
        <v>die schlechtere Bewertung für Budget-/Termineinhaltung stellt das Risikoniveau von Prozessentwicklung dar</v>
      </c>
      <c r="C13" s="11" t="str">
        <f>IF($B$1="English",Sprachetabelle!F12,Sprachetabelle!C12)</f>
        <v>Interpretation der Bewertungsergebnisse:
x=3 -&gt; Prozessentwicklung wird terminlich bis C-Muster/QG2 abgeschlossen mit Budgeteinhaltung
x=2-&gt; Prozessentwicklung wird terminlich bis D-Muster abgeschlossen mit Budgeteinhaltung
x=1 -&gt; Prozessentiwkclung könnte terminlich erst nach D-Muster abgeschlossen sein mit evtl. Budgetüberschreitung
die Bewertung für Gesamtrisiko für Serie ergibt sich durch den Vergleich von No.27 und No.28. 
No.27 gibt den Reifegrad von existierenden Prozessen an, während No.28 die Wahrscheinlichkeit für die Risikodeckung durch Prozessentwicklung angibt. 
D.h. wenn ProzessReifegrad für Serie = 1, jedoch der Reifegrad für Prozessentwicklung = 3 deutet zwar auf eine hohe Risiken ein, diese kann jedoch durch Prozessentwicklung gut gedeckt werden. Dies ist daher weniger kritisch als der Fall wenn beide Reifegrad = 1 wären.</v>
      </c>
    </row>
    <row r="14" spans="1:3" ht="38.25" x14ac:dyDescent="0.2">
      <c r="A14" s="14" t="str">
        <f>IF($B$1="English",Sprachetabelle!D13,Sprachetabelle!A13)</f>
        <v>No.29 (automatisch berechnet)</v>
      </c>
      <c r="B14" s="13" t="str">
        <f>IF($B$1="English",Sprachetabelle!E13,Sprachetabelle!B13)</f>
        <v>Anzahl kritischer Prozese in Musterphase</v>
      </c>
      <c r="C14" s="15" t="str">
        <f>IF($B$1="English",Sprachetabelle!F13,Sprachetabelle!C13)</f>
        <v>ein Prozess ist kritisch für Musterphase wenn Bewertung von No.5 ≤ 2 ist. D.h. es gibt keine direkt verfügbare Prozess für Bemusterung</v>
      </c>
    </row>
    <row r="15" spans="1:3" ht="64.5" thickBot="1" x14ac:dyDescent="0.25">
      <c r="A15" s="17" t="str">
        <f>IF($B$1="English",Sprachetabelle!D14,Sprachetabelle!A14)</f>
        <v>No.30 (automatisch berechnet)</v>
      </c>
      <c r="B15" s="16" t="str">
        <f>IF($B$1="English",Sprachetabelle!E14,Sprachetabelle!B14)</f>
        <v>Anzahl kritischer Prozesse in Serie</v>
      </c>
      <c r="C15" s="18" t="str">
        <f>IF($B$1="English",Sprachetabelle!F14,Sprachetabelle!C14)</f>
        <v>ein Prozess ist kritisch für Serie wenn die Bewertungen für No.27 und No.28 ≤ 2 ist. D.h. der ProzessReifegrad von existierenden Prozess ist zu niedrig, kombiniert mit mittlerem bis hohem Risikoniveau für Prozessentwicklung</v>
      </c>
    </row>
  </sheetData>
  <hyperlinks>
    <hyperlink ref="B1" location="Overview!cLanguage" display="Overview!cLanguage"/>
  </hyperlinks>
  <pageMargins left="0.7" right="0.7" top="0.78740157499999996" bottom="0.78740157499999996" header="0.3" footer="0.3"/>
  <pageSetup paperSize="9" scale="25"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R47"/>
  <sheetViews>
    <sheetView tabSelected="1" view="pageLayout" zoomScale="55" zoomScaleNormal="40" zoomScalePageLayoutView="55" workbookViewId="0">
      <selection activeCell="E6" sqref="E6"/>
    </sheetView>
  </sheetViews>
  <sheetFormatPr defaultColWidth="11.42578125" defaultRowHeight="12.75" x14ac:dyDescent="0.2"/>
  <cols>
    <col min="1" max="1" width="15.28515625" style="78" customWidth="1"/>
    <col min="2" max="2" width="16.28515625" style="78" customWidth="1"/>
    <col min="3" max="3" width="17.42578125" style="78" customWidth="1"/>
    <col min="4" max="6" width="43.140625" style="78" customWidth="1"/>
    <col min="7" max="16384" width="11.42578125" style="78"/>
  </cols>
  <sheetData>
    <row r="1" spans="1:44" ht="93" customHeight="1" x14ac:dyDescent="0.2">
      <c r="A1" s="77"/>
      <c r="B1" s="77"/>
      <c r="F1" s="79" t="str">
        <f>IF(Overview!cLanguage="Deutsch","Anzahl der Prozesse","Amount of processes")</f>
        <v>Anzahl der Prozesse</v>
      </c>
      <c r="G1" s="80">
        <v>40</v>
      </c>
    </row>
    <row r="2" spans="1:44" ht="12.75" customHeight="1" thickBot="1" x14ac:dyDescent="0.25">
      <c r="A2" s="81"/>
      <c r="B2" s="82"/>
      <c r="C2" s="83"/>
    </row>
    <row r="3" spans="1:44" x14ac:dyDescent="0.2">
      <c r="A3" s="84">
        <v>1</v>
      </c>
      <c r="B3" s="85" t="s">
        <v>82</v>
      </c>
      <c r="C3" s="85"/>
      <c r="D3" s="86" t="str">
        <f>IF(cLanguage="English","Process name","Benennung")</f>
        <v>Benennung</v>
      </c>
      <c r="E3" s="87" t="s">
        <v>0</v>
      </c>
      <c r="F3" s="87" t="s">
        <v>1</v>
      </c>
      <c r="G3" s="88" t="s">
        <v>91</v>
      </c>
      <c r="H3" s="88" t="s">
        <v>92</v>
      </c>
      <c r="I3" s="88" t="s">
        <v>93</v>
      </c>
      <c r="J3" s="88" t="s">
        <v>94</v>
      </c>
      <c r="K3" s="88" t="s">
        <v>95</v>
      </c>
      <c r="L3" s="88" t="s">
        <v>96</v>
      </c>
      <c r="M3" s="88" t="s">
        <v>97</v>
      </c>
      <c r="N3" s="88" t="s">
        <v>98</v>
      </c>
      <c r="O3" s="88" t="s">
        <v>99</v>
      </c>
      <c r="P3" s="88" t="s">
        <v>100</v>
      </c>
      <c r="Q3" s="88" t="s">
        <v>101</v>
      </c>
      <c r="R3" s="88" t="s">
        <v>102</v>
      </c>
      <c r="S3" s="88" t="s">
        <v>103</v>
      </c>
      <c r="T3" s="88" t="s">
        <v>104</v>
      </c>
      <c r="U3" s="88" t="s">
        <v>105</v>
      </c>
      <c r="V3" s="88" t="s">
        <v>106</v>
      </c>
      <c r="W3" s="88" t="s">
        <v>107</v>
      </c>
      <c r="X3" s="88" t="s">
        <v>108</v>
      </c>
      <c r="Y3" s="88" t="s">
        <v>109</v>
      </c>
      <c r="Z3" s="88" t="s">
        <v>110</v>
      </c>
      <c r="AA3" s="88" t="s">
        <v>111</v>
      </c>
      <c r="AB3" s="88" t="s">
        <v>112</v>
      </c>
      <c r="AC3" s="88" t="s">
        <v>113</v>
      </c>
      <c r="AD3" s="88" t="s">
        <v>114</v>
      </c>
      <c r="AE3" s="88" t="s">
        <v>115</v>
      </c>
      <c r="AF3" s="88" t="s">
        <v>116</v>
      </c>
      <c r="AG3" s="88" t="s">
        <v>117</v>
      </c>
      <c r="AH3" s="88" t="s">
        <v>118</v>
      </c>
      <c r="AI3" s="88" t="s">
        <v>119</v>
      </c>
      <c r="AJ3" s="88" t="s">
        <v>120</v>
      </c>
      <c r="AK3" s="88" t="s">
        <v>121</v>
      </c>
      <c r="AL3" s="88" t="s">
        <v>122</v>
      </c>
      <c r="AM3" s="88" t="s">
        <v>123</v>
      </c>
      <c r="AN3" s="88" t="s">
        <v>124</v>
      </c>
      <c r="AO3" s="88" t="s">
        <v>125</v>
      </c>
      <c r="AP3" s="88" t="s">
        <v>126</v>
      </c>
      <c r="AQ3" s="88" t="s">
        <v>127</v>
      </c>
      <c r="AR3" s="88" t="s">
        <v>128</v>
      </c>
    </row>
    <row r="4" spans="1:44" x14ac:dyDescent="0.2">
      <c r="A4" s="89">
        <v>2</v>
      </c>
      <c r="B4" s="90"/>
      <c r="C4" s="90"/>
      <c r="D4" s="91" t="str">
        <f>IF(cLanguage="English","Process No.","Prozess No.")</f>
        <v>Prozess No.</v>
      </c>
      <c r="E4" s="92">
        <v>1</v>
      </c>
      <c r="F4" s="92">
        <v>2</v>
      </c>
      <c r="G4" s="92">
        <v>3</v>
      </c>
      <c r="H4" s="92">
        <v>4</v>
      </c>
      <c r="I4" s="92">
        <v>5</v>
      </c>
      <c r="J4" s="92">
        <v>6</v>
      </c>
      <c r="K4" s="92">
        <v>7</v>
      </c>
      <c r="L4" s="92">
        <v>8</v>
      </c>
      <c r="M4" s="92">
        <v>9</v>
      </c>
      <c r="N4" s="92">
        <v>10</v>
      </c>
      <c r="O4" s="92">
        <v>11</v>
      </c>
      <c r="P4" s="92">
        <v>12</v>
      </c>
      <c r="Q4" s="92">
        <v>13</v>
      </c>
      <c r="R4" s="92">
        <v>14</v>
      </c>
      <c r="S4" s="92">
        <v>15</v>
      </c>
      <c r="T4" s="92">
        <v>16</v>
      </c>
      <c r="U4" s="92">
        <v>17</v>
      </c>
      <c r="V4" s="92">
        <v>18</v>
      </c>
      <c r="W4" s="92">
        <v>19</v>
      </c>
      <c r="X4" s="92">
        <v>20</v>
      </c>
      <c r="Y4" s="92">
        <v>21</v>
      </c>
      <c r="Z4" s="92">
        <v>22</v>
      </c>
      <c r="AA4" s="92">
        <v>23</v>
      </c>
      <c r="AB4" s="92">
        <v>24</v>
      </c>
      <c r="AC4" s="92">
        <v>25</v>
      </c>
      <c r="AD4" s="92">
        <v>26</v>
      </c>
      <c r="AE4" s="92">
        <v>27</v>
      </c>
      <c r="AF4" s="92">
        <v>28</v>
      </c>
      <c r="AG4" s="92">
        <v>29</v>
      </c>
      <c r="AH4" s="92">
        <v>30</v>
      </c>
      <c r="AI4" s="92">
        <v>31</v>
      </c>
      <c r="AJ4" s="92">
        <v>32</v>
      </c>
      <c r="AK4" s="92">
        <v>33</v>
      </c>
      <c r="AL4" s="92">
        <v>34</v>
      </c>
      <c r="AM4" s="92">
        <v>35</v>
      </c>
      <c r="AN4" s="92">
        <v>36</v>
      </c>
      <c r="AO4" s="92">
        <v>37</v>
      </c>
      <c r="AP4" s="92">
        <v>38</v>
      </c>
      <c r="AQ4" s="92">
        <v>39</v>
      </c>
      <c r="AR4" s="92">
        <v>40</v>
      </c>
    </row>
    <row r="5" spans="1:44" x14ac:dyDescent="0.2">
      <c r="A5" s="89">
        <v>3</v>
      </c>
      <c r="B5" s="90"/>
      <c r="C5" s="90"/>
      <c r="D5" s="91" t="str">
        <f>IF(cLanguage="English","illustration","graph. Darstellung")</f>
        <v>graph. Darstellung</v>
      </c>
      <c r="E5" s="92"/>
      <c r="F5" s="92"/>
      <c r="G5" s="93"/>
      <c r="H5" s="93"/>
      <c r="I5" s="93"/>
      <c r="J5" s="93"/>
      <c r="K5" s="93"/>
      <c r="L5" s="93"/>
      <c r="M5" s="93"/>
      <c r="N5" s="93"/>
      <c r="O5" s="93"/>
      <c r="P5" s="93"/>
      <c r="Q5" s="93"/>
      <c r="R5" s="93"/>
      <c r="S5" s="93"/>
      <c r="T5" s="93"/>
      <c r="U5" s="93"/>
      <c r="V5" s="93"/>
      <c r="W5" s="93"/>
      <c r="X5" s="93"/>
      <c r="Y5" s="93"/>
      <c r="Z5" s="93"/>
      <c r="AA5" s="93"/>
      <c r="AB5" s="93"/>
      <c r="AC5" s="93"/>
      <c r="AD5" s="93"/>
      <c r="AE5" s="93"/>
      <c r="AF5" s="93"/>
      <c r="AG5" s="93"/>
      <c r="AH5" s="93"/>
      <c r="AI5" s="93"/>
      <c r="AJ5" s="93"/>
      <c r="AK5" s="93"/>
      <c r="AL5" s="93"/>
      <c r="AM5" s="93"/>
      <c r="AN5" s="93"/>
      <c r="AO5" s="93"/>
      <c r="AP5" s="93"/>
      <c r="AQ5" s="93"/>
      <c r="AR5" s="93"/>
    </row>
    <row r="6" spans="1:44" ht="153" x14ac:dyDescent="0.2">
      <c r="A6" s="89">
        <v>4</v>
      </c>
      <c r="B6" s="90"/>
      <c r="C6" s="90"/>
      <c r="D6" s="94" t="str">
        <f>IF(cLanguage="English","description of technical details (e.g. input, output, quality criteria with nominal value and tolerance, cycle time etc.)","Beschreibung technische Details (Eingänge, Ausgänge, Qualitätsanforderung mit Sollwert, Toleranz, Zykluszeit usw.)")</f>
        <v>Beschreibung technische Details (Eingänge, Ausgänge, Qualitätsanforderung mit Sollwert, Toleranz, Zykluszeit usw.)</v>
      </c>
      <c r="E6" s="94" t="s">
        <v>2</v>
      </c>
      <c r="F6" s="94" t="s">
        <v>3</v>
      </c>
      <c r="G6" s="93"/>
      <c r="H6" s="93"/>
      <c r="I6" s="93"/>
      <c r="J6" s="93"/>
      <c r="K6" s="93"/>
      <c r="L6" s="93"/>
      <c r="M6" s="93"/>
      <c r="N6" s="93"/>
      <c r="O6" s="93"/>
      <c r="P6" s="93"/>
      <c r="Q6" s="93"/>
      <c r="R6" s="93"/>
      <c r="S6" s="93"/>
      <c r="T6" s="93"/>
      <c r="U6" s="93"/>
      <c r="V6" s="93"/>
      <c r="W6" s="93"/>
      <c r="X6" s="93"/>
      <c r="Y6" s="93"/>
      <c r="Z6" s="93"/>
      <c r="AA6" s="93"/>
      <c r="AB6" s="93"/>
      <c r="AC6" s="93"/>
      <c r="AD6" s="93"/>
      <c r="AE6" s="93"/>
      <c r="AF6" s="93"/>
      <c r="AG6" s="93"/>
      <c r="AH6" s="93"/>
      <c r="AI6" s="93"/>
      <c r="AJ6" s="93"/>
      <c r="AK6" s="93"/>
      <c r="AL6" s="93"/>
      <c r="AM6" s="93"/>
      <c r="AN6" s="93"/>
      <c r="AO6" s="93"/>
      <c r="AP6" s="93"/>
      <c r="AQ6" s="93"/>
      <c r="AR6" s="93"/>
    </row>
    <row r="7" spans="1:44" x14ac:dyDescent="0.2">
      <c r="A7" s="89">
        <v>5</v>
      </c>
      <c r="B7" s="90" t="str">
        <f>IF(cLanguage="English","Process Availability","Verfügbarkeit")</f>
        <v>Verfügbarkeit</v>
      </c>
      <c r="C7" s="90"/>
      <c r="D7" s="95" t="str">
        <f>IF(cLanguage="English","availability for sample production","Verfügbarkeit in Musterfertigung")</f>
        <v>Verfügbarkeit in Musterfertigung</v>
      </c>
      <c r="E7" s="96">
        <v>2</v>
      </c>
      <c r="F7" s="96">
        <v>3</v>
      </c>
      <c r="G7" s="96"/>
      <c r="H7" s="96"/>
      <c r="I7" s="96"/>
      <c r="J7" s="96"/>
      <c r="K7" s="96"/>
      <c r="L7" s="96"/>
      <c r="M7" s="96"/>
      <c r="N7" s="96"/>
      <c r="O7" s="96"/>
      <c r="P7" s="96"/>
      <c r="Q7" s="96"/>
      <c r="R7" s="96"/>
      <c r="S7" s="96"/>
      <c r="T7" s="96"/>
      <c r="U7" s="96"/>
      <c r="V7" s="96"/>
      <c r="W7" s="96"/>
      <c r="X7" s="96"/>
      <c r="Y7" s="96"/>
      <c r="Z7" s="96"/>
      <c r="AA7" s="96"/>
      <c r="AB7" s="96"/>
      <c r="AC7" s="96"/>
      <c r="AD7" s="96"/>
      <c r="AE7" s="96"/>
      <c r="AF7" s="96"/>
      <c r="AG7" s="96"/>
      <c r="AH7" s="96"/>
      <c r="AI7" s="96"/>
      <c r="AJ7" s="96"/>
      <c r="AK7" s="96"/>
      <c r="AL7" s="96"/>
      <c r="AM7" s="96"/>
      <c r="AN7" s="96"/>
      <c r="AO7" s="96"/>
      <c r="AP7" s="96"/>
      <c r="AQ7" s="96"/>
      <c r="AR7" s="96"/>
    </row>
    <row r="8" spans="1:44" x14ac:dyDescent="0.2">
      <c r="A8" s="89">
        <v>6</v>
      </c>
      <c r="B8" s="90"/>
      <c r="C8" s="90"/>
      <c r="D8" s="95" t="str">
        <f>IF(cLanguage="English","availability for series production","Verfügbarkeit in Serienfertigung")</f>
        <v>Verfügbarkeit in Serienfertigung</v>
      </c>
      <c r="E8" s="96">
        <v>1</v>
      </c>
      <c r="F8" s="96">
        <v>2</v>
      </c>
      <c r="G8" s="96">
        <v>3</v>
      </c>
      <c r="H8" s="96"/>
      <c r="I8" s="96"/>
      <c r="J8" s="96"/>
      <c r="K8" s="96"/>
      <c r="L8" s="96"/>
      <c r="M8" s="96"/>
      <c r="N8" s="96"/>
      <c r="O8" s="96"/>
      <c r="P8" s="96"/>
      <c r="Q8" s="96"/>
      <c r="R8" s="96"/>
      <c r="S8" s="96"/>
      <c r="T8" s="96">
        <v>3</v>
      </c>
      <c r="U8" s="96">
        <v>3</v>
      </c>
      <c r="V8" s="96">
        <v>3</v>
      </c>
      <c r="W8" s="96">
        <v>3</v>
      </c>
      <c r="X8" s="96">
        <v>3</v>
      </c>
      <c r="Y8" s="96">
        <v>3</v>
      </c>
      <c r="Z8" s="96">
        <v>3</v>
      </c>
      <c r="AA8" s="96">
        <v>3</v>
      </c>
      <c r="AB8" s="96">
        <v>3</v>
      </c>
      <c r="AC8" s="96">
        <v>3</v>
      </c>
      <c r="AD8" s="96">
        <v>3</v>
      </c>
      <c r="AE8" s="96">
        <v>3</v>
      </c>
      <c r="AF8" s="96">
        <v>3</v>
      </c>
      <c r="AG8" s="96">
        <v>3</v>
      </c>
      <c r="AH8" s="96">
        <v>3</v>
      </c>
      <c r="AI8" s="96">
        <v>3</v>
      </c>
      <c r="AJ8" s="96">
        <v>3</v>
      </c>
      <c r="AK8" s="96">
        <v>3</v>
      </c>
      <c r="AL8" s="96">
        <v>3</v>
      </c>
      <c r="AM8" s="96">
        <v>3</v>
      </c>
      <c r="AN8" s="96">
        <v>3</v>
      </c>
      <c r="AO8" s="96">
        <v>3</v>
      </c>
      <c r="AP8" s="96">
        <v>3</v>
      </c>
      <c r="AQ8" s="96">
        <v>3</v>
      </c>
      <c r="AR8" s="96">
        <v>3</v>
      </c>
    </row>
    <row r="9" spans="1:44" ht="12.75" customHeight="1" x14ac:dyDescent="0.2">
      <c r="A9" s="89">
        <v>7</v>
      </c>
      <c r="B9" s="90" t="str">
        <f>IF(cLanguage="English","evaluation of new process","Bewertung neuer Prozesse")</f>
        <v>Bewertung neuer Prozesse</v>
      </c>
      <c r="C9" s="90"/>
      <c r="D9" s="91" t="str">
        <f>IF(cLanguage="English","novelty of new process within Bosch","Bekanntheitsgrad der neuen Prozesse")</f>
        <v>Bekanntheitsgrad der neuen Prozesse</v>
      </c>
      <c r="E9" s="96">
        <v>1</v>
      </c>
      <c r="F9" s="96">
        <v>2</v>
      </c>
      <c r="G9" s="96" t="str">
        <f t="shared" ref="G9:H9" si="0">IF(G8=3,"n.a.","0")</f>
        <v>n.a.</v>
      </c>
      <c r="H9" s="96" t="str">
        <f t="shared" si="0"/>
        <v>0</v>
      </c>
      <c r="I9" s="96" t="str">
        <f t="shared" ref="I9:AR9" si="1">IF(I8=3,"n.a.","0")</f>
        <v>0</v>
      </c>
      <c r="J9" s="96" t="str">
        <f t="shared" si="1"/>
        <v>0</v>
      </c>
      <c r="K9" s="96" t="str">
        <f t="shared" si="1"/>
        <v>0</v>
      </c>
      <c r="L9" s="96" t="str">
        <f t="shared" si="1"/>
        <v>0</v>
      </c>
      <c r="M9" s="96" t="str">
        <f t="shared" si="1"/>
        <v>0</v>
      </c>
      <c r="N9" s="96" t="str">
        <f t="shared" si="1"/>
        <v>0</v>
      </c>
      <c r="O9" s="96" t="str">
        <f t="shared" si="1"/>
        <v>0</v>
      </c>
      <c r="P9" s="96" t="str">
        <f t="shared" si="1"/>
        <v>0</v>
      </c>
      <c r="Q9" s="96" t="str">
        <f t="shared" si="1"/>
        <v>0</v>
      </c>
      <c r="R9" s="96" t="str">
        <f t="shared" si="1"/>
        <v>0</v>
      </c>
      <c r="S9" s="96" t="str">
        <f t="shared" si="1"/>
        <v>0</v>
      </c>
      <c r="T9" s="96" t="str">
        <f t="shared" si="1"/>
        <v>n.a.</v>
      </c>
      <c r="U9" s="96" t="str">
        <f t="shared" si="1"/>
        <v>n.a.</v>
      </c>
      <c r="V9" s="96" t="str">
        <f t="shared" si="1"/>
        <v>n.a.</v>
      </c>
      <c r="W9" s="96" t="str">
        <f t="shared" si="1"/>
        <v>n.a.</v>
      </c>
      <c r="X9" s="96" t="str">
        <f t="shared" si="1"/>
        <v>n.a.</v>
      </c>
      <c r="Y9" s="96" t="str">
        <f t="shared" si="1"/>
        <v>n.a.</v>
      </c>
      <c r="Z9" s="96" t="str">
        <f t="shared" si="1"/>
        <v>n.a.</v>
      </c>
      <c r="AA9" s="96" t="str">
        <f t="shared" si="1"/>
        <v>n.a.</v>
      </c>
      <c r="AB9" s="96" t="str">
        <f t="shared" si="1"/>
        <v>n.a.</v>
      </c>
      <c r="AC9" s="96" t="str">
        <f t="shared" si="1"/>
        <v>n.a.</v>
      </c>
      <c r="AD9" s="96" t="str">
        <f t="shared" si="1"/>
        <v>n.a.</v>
      </c>
      <c r="AE9" s="96" t="str">
        <f t="shared" si="1"/>
        <v>n.a.</v>
      </c>
      <c r="AF9" s="96" t="str">
        <f t="shared" si="1"/>
        <v>n.a.</v>
      </c>
      <c r="AG9" s="96" t="str">
        <f t="shared" si="1"/>
        <v>n.a.</v>
      </c>
      <c r="AH9" s="96" t="str">
        <f t="shared" si="1"/>
        <v>n.a.</v>
      </c>
      <c r="AI9" s="96" t="str">
        <f t="shared" si="1"/>
        <v>n.a.</v>
      </c>
      <c r="AJ9" s="96" t="str">
        <f t="shared" si="1"/>
        <v>n.a.</v>
      </c>
      <c r="AK9" s="96" t="str">
        <f t="shared" si="1"/>
        <v>n.a.</v>
      </c>
      <c r="AL9" s="96" t="str">
        <f t="shared" si="1"/>
        <v>n.a.</v>
      </c>
      <c r="AM9" s="96" t="str">
        <f t="shared" si="1"/>
        <v>n.a.</v>
      </c>
      <c r="AN9" s="96" t="str">
        <f t="shared" si="1"/>
        <v>n.a.</v>
      </c>
      <c r="AO9" s="96" t="str">
        <f t="shared" si="1"/>
        <v>n.a.</v>
      </c>
      <c r="AP9" s="96" t="str">
        <f t="shared" si="1"/>
        <v>n.a.</v>
      </c>
      <c r="AQ9" s="96" t="str">
        <f t="shared" si="1"/>
        <v>n.a.</v>
      </c>
      <c r="AR9" s="96" t="str">
        <f t="shared" si="1"/>
        <v>n.a.</v>
      </c>
    </row>
    <row r="10" spans="1:44" ht="12.75" customHeight="1" x14ac:dyDescent="0.2">
      <c r="A10" s="89">
        <v>8</v>
      </c>
      <c r="B10" s="90" t="str">
        <f>IF(cLanguage="English","maturity degree of existing processes in series production","Serienreife existierender Prozesse")</f>
        <v>Serienreife existierender Prozesse</v>
      </c>
      <c r="C10" s="90" t="str">
        <f>IF(cLanguage="English","Process quality &amp; capability","Prozessqualität/-fähigkeit")</f>
        <v>Prozessqualität/-fähigkeit</v>
      </c>
      <c r="D10" s="91" t="str">
        <f>IF(cLanguage="English","established process (DFMA)","bewährte Prozess")</f>
        <v>bewährte Prozess</v>
      </c>
      <c r="E10" s="96" t="str">
        <f>IF(OR(E8&gt;1,E8=""),"0","n.a.")</f>
        <v>n.a.</v>
      </c>
      <c r="F10" s="96">
        <v>3</v>
      </c>
      <c r="G10" s="96" t="str">
        <f t="shared" ref="G10:H10" si="2">IF(OR(G8&gt;1,G8=""),"0","n.a.")</f>
        <v>0</v>
      </c>
      <c r="H10" s="96" t="str">
        <f t="shared" si="2"/>
        <v>0</v>
      </c>
      <c r="I10" s="96" t="str">
        <f t="shared" ref="I10:AR10" si="3">IF(OR(I8&gt;1,I8=""),"0","n.a.")</f>
        <v>0</v>
      </c>
      <c r="J10" s="96" t="str">
        <f t="shared" si="3"/>
        <v>0</v>
      </c>
      <c r="K10" s="96" t="str">
        <f t="shared" si="3"/>
        <v>0</v>
      </c>
      <c r="L10" s="96" t="str">
        <f t="shared" si="3"/>
        <v>0</v>
      </c>
      <c r="M10" s="96" t="str">
        <f t="shared" si="3"/>
        <v>0</v>
      </c>
      <c r="N10" s="96" t="str">
        <f t="shared" si="3"/>
        <v>0</v>
      </c>
      <c r="O10" s="96" t="str">
        <f t="shared" si="3"/>
        <v>0</v>
      </c>
      <c r="P10" s="96" t="str">
        <f t="shared" si="3"/>
        <v>0</v>
      </c>
      <c r="Q10" s="96" t="str">
        <f t="shared" si="3"/>
        <v>0</v>
      </c>
      <c r="R10" s="96" t="str">
        <f t="shared" si="3"/>
        <v>0</v>
      </c>
      <c r="S10" s="96" t="str">
        <f t="shared" si="3"/>
        <v>0</v>
      </c>
      <c r="T10" s="96" t="str">
        <f t="shared" si="3"/>
        <v>0</v>
      </c>
      <c r="U10" s="96" t="str">
        <f t="shared" si="3"/>
        <v>0</v>
      </c>
      <c r="V10" s="96" t="str">
        <f t="shared" si="3"/>
        <v>0</v>
      </c>
      <c r="W10" s="96" t="str">
        <f t="shared" si="3"/>
        <v>0</v>
      </c>
      <c r="X10" s="96" t="str">
        <f t="shared" si="3"/>
        <v>0</v>
      </c>
      <c r="Y10" s="96" t="str">
        <f t="shared" si="3"/>
        <v>0</v>
      </c>
      <c r="Z10" s="96" t="str">
        <f t="shared" si="3"/>
        <v>0</v>
      </c>
      <c r="AA10" s="96" t="str">
        <f t="shared" si="3"/>
        <v>0</v>
      </c>
      <c r="AB10" s="96" t="str">
        <f t="shared" si="3"/>
        <v>0</v>
      </c>
      <c r="AC10" s="96" t="str">
        <f t="shared" si="3"/>
        <v>0</v>
      </c>
      <c r="AD10" s="96" t="str">
        <f t="shared" si="3"/>
        <v>0</v>
      </c>
      <c r="AE10" s="96" t="str">
        <f t="shared" si="3"/>
        <v>0</v>
      </c>
      <c r="AF10" s="96" t="str">
        <f t="shared" si="3"/>
        <v>0</v>
      </c>
      <c r="AG10" s="96" t="str">
        <f t="shared" si="3"/>
        <v>0</v>
      </c>
      <c r="AH10" s="96" t="str">
        <f t="shared" si="3"/>
        <v>0</v>
      </c>
      <c r="AI10" s="96" t="str">
        <f t="shared" si="3"/>
        <v>0</v>
      </c>
      <c r="AJ10" s="96" t="str">
        <f t="shared" si="3"/>
        <v>0</v>
      </c>
      <c r="AK10" s="96" t="str">
        <f t="shared" si="3"/>
        <v>0</v>
      </c>
      <c r="AL10" s="96" t="str">
        <f t="shared" si="3"/>
        <v>0</v>
      </c>
      <c r="AM10" s="96" t="str">
        <f t="shared" si="3"/>
        <v>0</v>
      </c>
      <c r="AN10" s="96" t="str">
        <f t="shared" si="3"/>
        <v>0</v>
      </c>
      <c r="AO10" s="96" t="str">
        <f t="shared" si="3"/>
        <v>0</v>
      </c>
      <c r="AP10" s="96" t="str">
        <f t="shared" si="3"/>
        <v>0</v>
      </c>
      <c r="AQ10" s="96" t="str">
        <f t="shared" si="3"/>
        <v>0</v>
      </c>
      <c r="AR10" s="96" t="str">
        <f t="shared" si="3"/>
        <v>0</v>
      </c>
    </row>
    <row r="11" spans="1:44" x14ac:dyDescent="0.2">
      <c r="A11" s="89">
        <v>9</v>
      </c>
      <c r="B11" s="90"/>
      <c r="C11" s="90"/>
      <c r="D11" s="91" t="str">
        <f>IF(cLanguage="English","lean process (DFMA)","schlanke Prozess")</f>
        <v>schlanke Prozess</v>
      </c>
      <c r="E11" s="96" t="str">
        <f>IF(OR(E8&gt;1,E8=""),"0","n.a.")</f>
        <v>n.a.</v>
      </c>
      <c r="F11" s="96">
        <v>3</v>
      </c>
      <c r="G11" s="96" t="str">
        <f t="shared" ref="G11:H11" si="4">IF(OR(G8&gt;1,G8=""),"0","n.a.")</f>
        <v>0</v>
      </c>
      <c r="H11" s="96" t="str">
        <f t="shared" si="4"/>
        <v>0</v>
      </c>
      <c r="I11" s="96" t="str">
        <f t="shared" ref="I11:AR11" si="5">IF(OR(I8&gt;1,I8=""),"0","n.a.")</f>
        <v>0</v>
      </c>
      <c r="J11" s="96" t="str">
        <f t="shared" si="5"/>
        <v>0</v>
      </c>
      <c r="K11" s="96" t="str">
        <f t="shared" si="5"/>
        <v>0</v>
      </c>
      <c r="L11" s="96" t="str">
        <f t="shared" si="5"/>
        <v>0</v>
      </c>
      <c r="M11" s="96" t="str">
        <f t="shared" si="5"/>
        <v>0</v>
      </c>
      <c r="N11" s="96" t="str">
        <f t="shared" si="5"/>
        <v>0</v>
      </c>
      <c r="O11" s="96" t="str">
        <f t="shared" si="5"/>
        <v>0</v>
      </c>
      <c r="P11" s="96" t="str">
        <f t="shared" si="5"/>
        <v>0</v>
      </c>
      <c r="Q11" s="96" t="str">
        <f t="shared" si="5"/>
        <v>0</v>
      </c>
      <c r="R11" s="96" t="str">
        <f t="shared" si="5"/>
        <v>0</v>
      </c>
      <c r="S11" s="96" t="str">
        <f t="shared" si="5"/>
        <v>0</v>
      </c>
      <c r="T11" s="96" t="str">
        <f t="shared" si="5"/>
        <v>0</v>
      </c>
      <c r="U11" s="96" t="str">
        <f t="shared" si="5"/>
        <v>0</v>
      </c>
      <c r="V11" s="96" t="str">
        <f t="shared" si="5"/>
        <v>0</v>
      </c>
      <c r="W11" s="96" t="str">
        <f t="shared" si="5"/>
        <v>0</v>
      </c>
      <c r="X11" s="96" t="str">
        <f t="shared" si="5"/>
        <v>0</v>
      </c>
      <c r="Y11" s="96" t="str">
        <f t="shared" si="5"/>
        <v>0</v>
      </c>
      <c r="Z11" s="96" t="str">
        <f t="shared" si="5"/>
        <v>0</v>
      </c>
      <c r="AA11" s="96" t="str">
        <f t="shared" si="5"/>
        <v>0</v>
      </c>
      <c r="AB11" s="96" t="str">
        <f t="shared" si="5"/>
        <v>0</v>
      </c>
      <c r="AC11" s="96" t="str">
        <f t="shared" si="5"/>
        <v>0</v>
      </c>
      <c r="AD11" s="96" t="str">
        <f t="shared" si="5"/>
        <v>0</v>
      </c>
      <c r="AE11" s="96" t="str">
        <f t="shared" si="5"/>
        <v>0</v>
      </c>
      <c r="AF11" s="96" t="str">
        <f t="shared" si="5"/>
        <v>0</v>
      </c>
      <c r="AG11" s="96" t="str">
        <f t="shared" si="5"/>
        <v>0</v>
      </c>
      <c r="AH11" s="96" t="str">
        <f t="shared" si="5"/>
        <v>0</v>
      </c>
      <c r="AI11" s="96" t="str">
        <f t="shared" si="5"/>
        <v>0</v>
      </c>
      <c r="AJ11" s="96" t="str">
        <f t="shared" si="5"/>
        <v>0</v>
      </c>
      <c r="AK11" s="96" t="str">
        <f t="shared" si="5"/>
        <v>0</v>
      </c>
      <c r="AL11" s="96" t="str">
        <f t="shared" si="5"/>
        <v>0</v>
      </c>
      <c r="AM11" s="96" t="str">
        <f t="shared" si="5"/>
        <v>0</v>
      </c>
      <c r="AN11" s="96" t="str">
        <f t="shared" si="5"/>
        <v>0</v>
      </c>
      <c r="AO11" s="96" t="str">
        <f t="shared" si="5"/>
        <v>0</v>
      </c>
      <c r="AP11" s="96" t="str">
        <f t="shared" si="5"/>
        <v>0</v>
      </c>
      <c r="AQ11" s="96" t="str">
        <f t="shared" si="5"/>
        <v>0</v>
      </c>
      <c r="AR11" s="96" t="str">
        <f t="shared" si="5"/>
        <v>0</v>
      </c>
    </row>
    <row r="12" spans="1:44" x14ac:dyDescent="0.2">
      <c r="A12" s="89">
        <v>10</v>
      </c>
      <c r="B12" s="90"/>
      <c r="C12" s="90"/>
      <c r="D12" s="91" t="str">
        <f>IF(cLanguage="English","robust design (DFMA)","robuste Design")</f>
        <v>robuste Design</v>
      </c>
      <c r="E12" s="96" t="str">
        <f>IF(OR(E8&gt;1,E8=""),"0","n.a.")</f>
        <v>n.a.</v>
      </c>
      <c r="F12" s="96">
        <v>3</v>
      </c>
      <c r="G12" s="96" t="str">
        <f t="shared" ref="G12:H12" si="6">IF(OR(G8&gt;1,G8=""),"0","n.a.")</f>
        <v>0</v>
      </c>
      <c r="H12" s="96" t="str">
        <f t="shared" si="6"/>
        <v>0</v>
      </c>
      <c r="I12" s="96" t="str">
        <f t="shared" ref="I12:AR12" si="7">IF(OR(I8&gt;1,I8=""),"0","n.a.")</f>
        <v>0</v>
      </c>
      <c r="J12" s="96" t="str">
        <f t="shared" si="7"/>
        <v>0</v>
      </c>
      <c r="K12" s="96" t="str">
        <f t="shared" si="7"/>
        <v>0</v>
      </c>
      <c r="L12" s="96" t="str">
        <f t="shared" si="7"/>
        <v>0</v>
      </c>
      <c r="M12" s="96" t="str">
        <f t="shared" si="7"/>
        <v>0</v>
      </c>
      <c r="N12" s="96" t="str">
        <f t="shared" si="7"/>
        <v>0</v>
      </c>
      <c r="O12" s="96" t="str">
        <f t="shared" si="7"/>
        <v>0</v>
      </c>
      <c r="P12" s="96" t="str">
        <f t="shared" si="7"/>
        <v>0</v>
      </c>
      <c r="Q12" s="96" t="str">
        <f t="shared" si="7"/>
        <v>0</v>
      </c>
      <c r="R12" s="96" t="str">
        <f t="shared" si="7"/>
        <v>0</v>
      </c>
      <c r="S12" s="96" t="str">
        <f t="shared" si="7"/>
        <v>0</v>
      </c>
      <c r="T12" s="96" t="str">
        <f t="shared" si="7"/>
        <v>0</v>
      </c>
      <c r="U12" s="96" t="str">
        <f t="shared" si="7"/>
        <v>0</v>
      </c>
      <c r="V12" s="96" t="str">
        <f t="shared" si="7"/>
        <v>0</v>
      </c>
      <c r="W12" s="96" t="str">
        <f t="shared" si="7"/>
        <v>0</v>
      </c>
      <c r="X12" s="96" t="str">
        <f t="shared" si="7"/>
        <v>0</v>
      </c>
      <c r="Y12" s="96" t="str">
        <f t="shared" si="7"/>
        <v>0</v>
      </c>
      <c r="Z12" s="96" t="str">
        <f t="shared" si="7"/>
        <v>0</v>
      </c>
      <c r="AA12" s="96" t="str">
        <f t="shared" si="7"/>
        <v>0</v>
      </c>
      <c r="AB12" s="96" t="str">
        <f t="shared" si="7"/>
        <v>0</v>
      </c>
      <c r="AC12" s="96" t="str">
        <f t="shared" si="7"/>
        <v>0</v>
      </c>
      <c r="AD12" s="96" t="str">
        <f t="shared" si="7"/>
        <v>0</v>
      </c>
      <c r="AE12" s="96" t="str">
        <f t="shared" si="7"/>
        <v>0</v>
      </c>
      <c r="AF12" s="96" t="str">
        <f t="shared" si="7"/>
        <v>0</v>
      </c>
      <c r="AG12" s="96" t="str">
        <f t="shared" si="7"/>
        <v>0</v>
      </c>
      <c r="AH12" s="96" t="str">
        <f t="shared" si="7"/>
        <v>0</v>
      </c>
      <c r="AI12" s="96" t="str">
        <f t="shared" si="7"/>
        <v>0</v>
      </c>
      <c r="AJ12" s="96" t="str">
        <f t="shared" si="7"/>
        <v>0</v>
      </c>
      <c r="AK12" s="96" t="str">
        <f t="shared" si="7"/>
        <v>0</v>
      </c>
      <c r="AL12" s="96" t="str">
        <f t="shared" si="7"/>
        <v>0</v>
      </c>
      <c r="AM12" s="96" t="str">
        <f t="shared" si="7"/>
        <v>0</v>
      </c>
      <c r="AN12" s="96" t="str">
        <f t="shared" si="7"/>
        <v>0</v>
      </c>
      <c r="AO12" s="96" t="str">
        <f t="shared" si="7"/>
        <v>0</v>
      </c>
      <c r="AP12" s="96" t="str">
        <f t="shared" si="7"/>
        <v>0</v>
      </c>
      <c r="AQ12" s="96" t="str">
        <f t="shared" si="7"/>
        <v>0</v>
      </c>
      <c r="AR12" s="96" t="str">
        <f t="shared" si="7"/>
        <v>0</v>
      </c>
    </row>
    <row r="13" spans="1:44" x14ac:dyDescent="0.2">
      <c r="A13" s="89">
        <v>11</v>
      </c>
      <c r="B13" s="90"/>
      <c r="C13" s="90"/>
      <c r="D13" s="91" t="str">
        <f>IF(cLanguage="English","cleaningness risk (DFMA)","Sauberkeitsrisiko")</f>
        <v>Sauberkeitsrisiko</v>
      </c>
      <c r="E13" s="96" t="str">
        <f>IF(OR(E8&gt;1,E8=""),"0","n.a.")</f>
        <v>n.a.</v>
      </c>
      <c r="F13" s="96">
        <v>3</v>
      </c>
      <c r="G13" s="96" t="str">
        <f t="shared" ref="G13:H13" si="8">IF(OR(G8&gt;1,G8=""),"0","n.a.")</f>
        <v>0</v>
      </c>
      <c r="H13" s="96" t="str">
        <f t="shared" si="8"/>
        <v>0</v>
      </c>
      <c r="I13" s="96" t="str">
        <f t="shared" ref="I13:AR13" si="9">IF(OR(I8&gt;1,I8=""),"0","n.a.")</f>
        <v>0</v>
      </c>
      <c r="J13" s="96" t="str">
        <f t="shared" si="9"/>
        <v>0</v>
      </c>
      <c r="K13" s="96" t="str">
        <f t="shared" si="9"/>
        <v>0</v>
      </c>
      <c r="L13" s="96" t="str">
        <f t="shared" si="9"/>
        <v>0</v>
      </c>
      <c r="M13" s="96" t="str">
        <f t="shared" si="9"/>
        <v>0</v>
      </c>
      <c r="N13" s="96" t="str">
        <f t="shared" si="9"/>
        <v>0</v>
      </c>
      <c r="O13" s="96" t="str">
        <f t="shared" si="9"/>
        <v>0</v>
      </c>
      <c r="P13" s="96" t="str">
        <f t="shared" si="9"/>
        <v>0</v>
      </c>
      <c r="Q13" s="96" t="str">
        <f t="shared" si="9"/>
        <v>0</v>
      </c>
      <c r="R13" s="96" t="str">
        <f t="shared" si="9"/>
        <v>0</v>
      </c>
      <c r="S13" s="96" t="str">
        <f t="shared" si="9"/>
        <v>0</v>
      </c>
      <c r="T13" s="96" t="str">
        <f t="shared" si="9"/>
        <v>0</v>
      </c>
      <c r="U13" s="96" t="str">
        <f t="shared" si="9"/>
        <v>0</v>
      </c>
      <c r="V13" s="96" t="str">
        <f t="shared" si="9"/>
        <v>0</v>
      </c>
      <c r="W13" s="96" t="str">
        <f t="shared" si="9"/>
        <v>0</v>
      </c>
      <c r="X13" s="96" t="str">
        <f t="shared" si="9"/>
        <v>0</v>
      </c>
      <c r="Y13" s="96" t="str">
        <f t="shared" si="9"/>
        <v>0</v>
      </c>
      <c r="Z13" s="96" t="str">
        <f t="shared" si="9"/>
        <v>0</v>
      </c>
      <c r="AA13" s="96" t="str">
        <f t="shared" si="9"/>
        <v>0</v>
      </c>
      <c r="AB13" s="96" t="str">
        <f t="shared" si="9"/>
        <v>0</v>
      </c>
      <c r="AC13" s="96" t="str">
        <f t="shared" si="9"/>
        <v>0</v>
      </c>
      <c r="AD13" s="96" t="str">
        <f t="shared" si="9"/>
        <v>0</v>
      </c>
      <c r="AE13" s="96" t="str">
        <f t="shared" si="9"/>
        <v>0</v>
      </c>
      <c r="AF13" s="96" t="str">
        <f t="shared" si="9"/>
        <v>0</v>
      </c>
      <c r="AG13" s="96" t="str">
        <f t="shared" si="9"/>
        <v>0</v>
      </c>
      <c r="AH13" s="96" t="str">
        <f t="shared" si="9"/>
        <v>0</v>
      </c>
      <c r="AI13" s="96" t="str">
        <f t="shared" si="9"/>
        <v>0</v>
      </c>
      <c r="AJ13" s="96" t="str">
        <f t="shared" si="9"/>
        <v>0</v>
      </c>
      <c r="AK13" s="96" t="str">
        <f t="shared" si="9"/>
        <v>0</v>
      </c>
      <c r="AL13" s="96" t="str">
        <f t="shared" si="9"/>
        <v>0</v>
      </c>
      <c r="AM13" s="96" t="str">
        <f t="shared" si="9"/>
        <v>0</v>
      </c>
      <c r="AN13" s="96" t="str">
        <f t="shared" si="9"/>
        <v>0</v>
      </c>
      <c r="AO13" s="96" t="str">
        <f t="shared" si="9"/>
        <v>0</v>
      </c>
      <c r="AP13" s="96" t="str">
        <f t="shared" si="9"/>
        <v>0</v>
      </c>
      <c r="AQ13" s="96" t="str">
        <f t="shared" si="9"/>
        <v>0</v>
      </c>
      <c r="AR13" s="96" t="str">
        <f t="shared" si="9"/>
        <v>0</v>
      </c>
    </row>
    <row r="14" spans="1:44" x14ac:dyDescent="0.2">
      <c r="A14" s="89">
        <v>12</v>
      </c>
      <c r="B14" s="90"/>
      <c r="C14" s="91" t="str">
        <f>IF(cLanguage="English","process time","Prozesszeit")</f>
        <v>Prozesszeit</v>
      </c>
      <c r="D14" s="91" t="str">
        <f>IF(cLanguage="English","process cycle time ≤ customer tact","Zykluszeit ≤ Kundentakt")</f>
        <v>Zykluszeit ≤ Kundentakt</v>
      </c>
      <c r="E14" s="96" t="str">
        <f>IF(OR(E8&gt;1,E8=""),"0","n.a.")</f>
        <v>n.a.</v>
      </c>
      <c r="F14" s="96">
        <v>3</v>
      </c>
      <c r="G14" s="96" t="str">
        <f t="shared" ref="G14:H14" si="10">IF(OR(G8&gt;1,G8=""),"0","n.a.")</f>
        <v>0</v>
      </c>
      <c r="H14" s="96" t="str">
        <f t="shared" si="10"/>
        <v>0</v>
      </c>
      <c r="I14" s="96" t="str">
        <f t="shared" ref="I14:AR14" si="11">IF(OR(I8&gt;1,I8=""),"0","n.a.")</f>
        <v>0</v>
      </c>
      <c r="J14" s="96" t="str">
        <f t="shared" si="11"/>
        <v>0</v>
      </c>
      <c r="K14" s="96" t="str">
        <f t="shared" si="11"/>
        <v>0</v>
      </c>
      <c r="L14" s="96" t="str">
        <f t="shared" si="11"/>
        <v>0</v>
      </c>
      <c r="M14" s="96" t="str">
        <f t="shared" si="11"/>
        <v>0</v>
      </c>
      <c r="N14" s="96" t="str">
        <f t="shared" si="11"/>
        <v>0</v>
      </c>
      <c r="O14" s="96" t="str">
        <f t="shared" si="11"/>
        <v>0</v>
      </c>
      <c r="P14" s="96" t="str">
        <f t="shared" si="11"/>
        <v>0</v>
      </c>
      <c r="Q14" s="96" t="str">
        <f t="shared" si="11"/>
        <v>0</v>
      </c>
      <c r="R14" s="96" t="str">
        <f t="shared" si="11"/>
        <v>0</v>
      </c>
      <c r="S14" s="96" t="str">
        <f t="shared" si="11"/>
        <v>0</v>
      </c>
      <c r="T14" s="96" t="str">
        <f t="shared" si="11"/>
        <v>0</v>
      </c>
      <c r="U14" s="96" t="str">
        <f t="shared" si="11"/>
        <v>0</v>
      </c>
      <c r="V14" s="96" t="str">
        <f t="shared" si="11"/>
        <v>0</v>
      </c>
      <c r="W14" s="96" t="str">
        <f t="shared" si="11"/>
        <v>0</v>
      </c>
      <c r="X14" s="96" t="str">
        <f t="shared" si="11"/>
        <v>0</v>
      </c>
      <c r="Y14" s="96" t="str">
        <f t="shared" si="11"/>
        <v>0</v>
      </c>
      <c r="Z14" s="96" t="str">
        <f t="shared" si="11"/>
        <v>0</v>
      </c>
      <c r="AA14" s="96" t="str">
        <f t="shared" si="11"/>
        <v>0</v>
      </c>
      <c r="AB14" s="96" t="str">
        <f t="shared" si="11"/>
        <v>0</v>
      </c>
      <c r="AC14" s="96" t="str">
        <f t="shared" si="11"/>
        <v>0</v>
      </c>
      <c r="AD14" s="96" t="str">
        <f t="shared" si="11"/>
        <v>0</v>
      </c>
      <c r="AE14" s="96" t="str">
        <f t="shared" si="11"/>
        <v>0</v>
      </c>
      <c r="AF14" s="96" t="str">
        <f t="shared" si="11"/>
        <v>0</v>
      </c>
      <c r="AG14" s="96" t="str">
        <f t="shared" si="11"/>
        <v>0</v>
      </c>
      <c r="AH14" s="96" t="str">
        <f t="shared" si="11"/>
        <v>0</v>
      </c>
      <c r="AI14" s="96" t="str">
        <f t="shared" si="11"/>
        <v>0</v>
      </c>
      <c r="AJ14" s="96" t="str">
        <f t="shared" si="11"/>
        <v>0</v>
      </c>
      <c r="AK14" s="96" t="str">
        <f t="shared" si="11"/>
        <v>0</v>
      </c>
      <c r="AL14" s="96" t="str">
        <f t="shared" si="11"/>
        <v>0</v>
      </c>
      <c r="AM14" s="96" t="str">
        <f t="shared" si="11"/>
        <v>0</v>
      </c>
      <c r="AN14" s="96" t="str">
        <f t="shared" si="11"/>
        <v>0</v>
      </c>
      <c r="AO14" s="96" t="str">
        <f t="shared" si="11"/>
        <v>0</v>
      </c>
      <c r="AP14" s="96" t="str">
        <f t="shared" si="11"/>
        <v>0</v>
      </c>
      <c r="AQ14" s="96" t="str">
        <f t="shared" si="11"/>
        <v>0</v>
      </c>
      <c r="AR14" s="96" t="str">
        <f t="shared" si="11"/>
        <v>0</v>
      </c>
    </row>
    <row r="15" spans="1:44" x14ac:dyDescent="0.2">
      <c r="A15" s="89">
        <v>13</v>
      </c>
      <c r="B15" s="90"/>
      <c r="C15" s="97" t="str">
        <f>IF(cLanguage="English","miscellaneous ","sonstige ")</f>
        <v xml:space="preserve">sonstige </v>
      </c>
      <c r="D15" s="91" t="str">
        <f>IF(cLanguage="English","process ergonomics","Prozessergonomie")</f>
        <v>Prozessergonomie</v>
      </c>
      <c r="E15" s="96" t="str">
        <f>IF(OR(E8&gt;1,E8=""),"0","n.a.")</f>
        <v>n.a.</v>
      </c>
      <c r="F15" s="96">
        <v>3</v>
      </c>
      <c r="G15" s="96" t="str">
        <f t="shared" ref="G15:H15" si="12">IF(OR(G8&gt;1,G8=""),"0","n.a.")</f>
        <v>0</v>
      </c>
      <c r="H15" s="96" t="str">
        <f t="shared" si="12"/>
        <v>0</v>
      </c>
      <c r="I15" s="96" t="str">
        <f t="shared" ref="I15:AR15" si="13">IF(OR(I8&gt;1,I8=""),"0","n.a.")</f>
        <v>0</v>
      </c>
      <c r="J15" s="96" t="str">
        <f t="shared" si="13"/>
        <v>0</v>
      </c>
      <c r="K15" s="96" t="str">
        <f t="shared" si="13"/>
        <v>0</v>
      </c>
      <c r="L15" s="96" t="str">
        <f t="shared" si="13"/>
        <v>0</v>
      </c>
      <c r="M15" s="96" t="str">
        <f t="shared" si="13"/>
        <v>0</v>
      </c>
      <c r="N15" s="96" t="str">
        <f t="shared" si="13"/>
        <v>0</v>
      </c>
      <c r="O15" s="96" t="str">
        <f t="shared" si="13"/>
        <v>0</v>
      </c>
      <c r="P15" s="96" t="str">
        <f t="shared" si="13"/>
        <v>0</v>
      </c>
      <c r="Q15" s="96" t="str">
        <f t="shared" si="13"/>
        <v>0</v>
      </c>
      <c r="R15" s="96" t="str">
        <f t="shared" si="13"/>
        <v>0</v>
      </c>
      <c r="S15" s="96" t="str">
        <f t="shared" si="13"/>
        <v>0</v>
      </c>
      <c r="T15" s="96" t="str">
        <f t="shared" si="13"/>
        <v>0</v>
      </c>
      <c r="U15" s="96" t="str">
        <f t="shared" si="13"/>
        <v>0</v>
      </c>
      <c r="V15" s="96" t="str">
        <f t="shared" si="13"/>
        <v>0</v>
      </c>
      <c r="W15" s="96" t="str">
        <f t="shared" si="13"/>
        <v>0</v>
      </c>
      <c r="X15" s="96" t="str">
        <f t="shared" si="13"/>
        <v>0</v>
      </c>
      <c r="Y15" s="96" t="str">
        <f t="shared" si="13"/>
        <v>0</v>
      </c>
      <c r="Z15" s="96" t="str">
        <f t="shared" si="13"/>
        <v>0</v>
      </c>
      <c r="AA15" s="96" t="str">
        <f t="shared" si="13"/>
        <v>0</v>
      </c>
      <c r="AB15" s="96" t="str">
        <f t="shared" si="13"/>
        <v>0</v>
      </c>
      <c r="AC15" s="96" t="str">
        <f t="shared" si="13"/>
        <v>0</v>
      </c>
      <c r="AD15" s="96" t="str">
        <f t="shared" si="13"/>
        <v>0</v>
      </c>
      <c r="AE15" s="96" t="str">
        <f t="shared" si="13"/>
        <v>0</v>
      </c>
      <c r="AF15" s="96" t="str">
        <f t="shared" si="13"/>
        <v>0</v>
      </c>
      <c r="AG15" s="96" t="str">
        <f t="shared" si="13"/>
        <v>0</v>
      </c>
      <c r="AH15" s="96" t="str">
        <f t="shared" si="13"/>
        <v>0</v>
      </c>
      <c r="AI15" s="96" t="str">
        <f t="shared" si="13"/>
        <v>0</v>
      </c>
      <c r="AJ15" s="96" t="str">
        <f t="shared" si="13"/>
        <v>0</v>
      </c>
      <c r="AK15" s="96" t="str">
        <f t="shared" si="13"/>
        <v>0</v>
      </c>
      <c r="AL15" s="96" t="str">
        <f t="shared" si="13"/>
        <v>0</v>
      </c>
      <c r="AM15" s="96" t="str">
        <f t="shared" si="13"/>
        <v>0</v>
      </c>
      <c r="AN15" s="96" t="str">
        <f t="shared" si="13"/>
        <v>0</v>
      </c>
      <c r="AO15" s="96" t="str">
        <f t="shared" si="13"/>
        <v>0</v>
      </c>
      <c r="AP15" s="96" t="str">
        <f t="shared" si="13"/>
        <v>0</v>
      </c>
      <c r="AQ15" s="96" t="str">
        <f t="shared" si="13"/>
        <v>0</v>
      </c>
      <c r="AR15" s="96" t="str">
        <f t="shared" si="13"/>
        <v>0</v>
      </c>
    </row>
    <row r="16" spans="1:44" x14ac:dyDescent="0.2">
      <c r="A16" s="89">
        <v>14</v>
      </c>
      <c r="B16" s="90"/>
      <c r="C16" s="97"/>
      <c r="D16" s="91" t="str">
        <f>IF(cLanguage="Englisg","IPN capability","IPN Fähigkeit")</f>
        <v>IPN Fähigkeit</v>
      </c>
      <c r="E16" s="96" t="str">
        <f>IF(OR(E8&gt;1,E8=""),"0","n.a.")</f>
        <v>n.a.</v>
      </c>
      <c r="F16" s="96">
        <v>3</v>
      </c>
      <c r="G16" s="96" t="str">
        <f t="shared" ref="G16:H16" si="14">IF(OR(G8&gt;1,G8=""),"0","n.a.")</f>
        <v>0</v>
      </c>
      <c r="H16" s="96" t="str">
        <f t="shared" si="14"/>
        <v>0</v>
      </c>
      <c r="I16" s="96" t="str">
        <f t="shared" ref="I16:AR16" si="15">IF(OR(I8&gt;1,I8=""),"0","n.a.")</f>
        <v>0</v>
      </c>
      <c r="J16" s="96" t="str">
        <f t="shared" si="15"/>
        <v>0</v>
      </c>
      <c r="K16" s="96" t="str">
        <f t="shared" si="15"/>
        <v>0</v>
      </c>
      <c r="L16" s="96" t="str">
        <f t="shared" si="15"/>
        <v>0</v>
      </c>
      <c r="M16" s="96" t="str">
        <f t="shared" si="15"/>
        <v>0</v>
      </c>
      <c r="N16" s="96" t="str">
        <f t="shared" si="15"/>
        <v>0</v>
      </c>
      <c r="O16" s="96" t="str">
        <f t="shared" si="15"/>
        <v>0</v>
      </c>
      <c r="P16" s="96" t="str">
        <f t="shared" si="15"/>
        <v>0</v>
      </c>
      <c r="Q16" s="96" t="str">
        <f t="shared" si="15"/>
        <v>0</v>
      </c>
      <c r="R16" s="96" t="str">
        <f t="shared" si="15"/>
        <v>0</v>
      </c>
      <c r="S16" s="96" t="str">
        <f t="shared" si="15"/>
        <v>0</v>
      </c>
      <c r="T16" s="96" t="str">
        <f t="shared" si="15"/>
        <v>0</v>
      </c>
      <c r="U16" s="96" t="str">
        <f t="shared" si="15"/>
        <v>0</v>
      </c>
      <c r="V16" s="96" t="str">
        <f t="shared" si="15"/>
        <v>0</v>
      </c>
      <c r="W16" s="96" t="str">
        <f t="shared" si="15"/>
        <v>0</v>
      </c>
      <c r="X16" s="96" t="str">
        <f t="shared" si="15"/>
        <v>0</v>
      </c>
      <c r="Y16" s="96" t="str">
        <f t="shared" si="15"/>
        <v>0</v>
      </c>
      <c r="Z16" s="96" t="str">
        <f t="shared" si="15"/>
        <v>0</v>
      </c>
      <c r="AA16" s="96" t="str">
        <f t="shared" si="15"/>
        <v>0</v>
      </c>
      <c r="AB16" s="96" t="str">
        <f t="shared" si="15"/>
        <v>0</v>
      </c>
      <c r="AC16" s="96" t="str">
        <f t="shared" si="15"/>
        <v>0</v>
      </c>
      <c r="AD16" s="96" t="str">
        <f t="shared" si="15"/>
        <v>0</v>
      </c>
      <c r="AE16" s="96" t="str">
        <f t="shared" si="15"/>
        <v>0</v>
      </c>
      <c r="AF16" s="96" t="str">
        <f t="shared" si="15"/>
        <v>0</v>
      </c>
      <c r="AG16" s="96" t="str">
        <f t="shared" si="15"/>
        <v>0</v>
      </c>
      <c r="AH16" s="96" t="str">
        <f t="shared" si="15"/>
        <v>0</v>
      </c>
      <c r="AI16" s="96" t="str">
        <f t="shared" si="15"/>
        <v>0</v>
      </c>
      <c r="AJ16" s="96" t="str">
        <f t="shared" si="15"/>
        <v>0</v>
      </c>
      <c r="AK16" s="96" t="str">
        <f t="shared" si="15"/>
        <v>0</v>
      </c>
      <c r="AL16" s="96" t="str">
        <f t="shared" si="15"/>
        <v>0</v>
      </c>
      <c r="AM16" s="96" t="str">
        <f t="shared" si="15"/>
        <v>0</v>
      </c>
      <c r="AN16" s="96" t="str">
        <f t="shared" si="15"/>
        <v>0</v>
      </c>
      <c r="AO16" s="96" t="str">
        <f t="shared" si="15"/>
        <v>0</v>
      </c>
      <c r="AP16" s="96" t="str">
        <f t="shared" si="15"/>
        <v>0</v>
      </c>
      <c r="AQ16" s="96" t="str">
        <f t="shared" si="15"/>
        <v>0</v>
      </c>
      <c r="AR16" s="96" t="str">
        <f t="shared" si="15"/>
        <v>0</v>
      </c>
    </row>
    <row r="17" spans="1:44" ht="63.75" x14ac:dyDescent="0.2">
      <c r="A17" s="89">
        <v>15</v>
      </c>
      <c r="B17" s="90" t="str">
        <f>IF(cLanguage="English","description of risks","Beschreibung Risiken")</f>
        <v>Beschreibung Risiken</v>
      </c>
      <c r="C17" s="90"/>
      <c r="D17" s="91" t="str">
        <f>IF(cLanguage="English","qualitative description and detailing of risks","qualitative Beschreibung Risiko")</f>
        <v>qualitative Beschreibung Risiko</v>
      </c>
      <c r="E17" s="91" t="s">
        <v>4</v>
      </c>
      <c r="F17" s="91" t="s">
        <v>4</v>
      </c>
      <c r="G17" s="93"/>
      <c r="H17" s="93"/>
      <c r="I17" s="93"/>
      <c r="J17" s="93"/>
      <c r="K17" s="93"/>
      <c r="L17" s="93"/>
      <c r="M17" s="93"/>
      <c r="N17" s="93"/>
      <c r="O17" s="93"/>
      <c r="P17" s="93"/>
      <c r="Q17" s="93"/>
      <c r="R17" s="93"/>
      <c r="S17" s="93"/>
      <c r="T17" s="93"/>
      <c r="U17" s="93"/>
      <c r="V17" s="93"/>
      <c r="W17" s="93"/>
      <c r="X17" s="93"/>
      <c r="Y17" s="93"/>
      <c r="Z17" s="93"/>
      <c r="AA17" s="93"/>
      <c r="AB17" s="93"/>
      <c r="AC17" s="93"/>
      <c r="AD17" s="93"/>
      <c r="AE17" s="93"/>
      <c r="AF17" s="93"/>
      <c r="AG17" s="93"/>
      <c r="AH17" s="93"/>
      <c r="AI17" s="93"/>
      <c r="AJ17" s="93"/>
      <c r="AK17" s="93"/>
      <c r="AL17" s="93"/>
      <c r="AM17" s="93"/>
      <c r="AN17" s="93"/>
      <c r="AO17" s="93"/>
      <c r="AP17" s="93"/>
      <c r="AQ17" s="93"/>
      <c r="AR17" s="93"/>
    </row>
    <row r="18" spans="1:44" ht="89.25" x14ac:dyDescent="0.2">
      <c r="A18" s="89">
        <v>16</v>
      </c>
      <c r="B18" s="98" t="str">
        <f>IF(cLanguage="English","process development","Prozessentwicklung")</f>
        <v>Prozessentwicklung</v>
      </c>
      <c r="C18" s="99"/>
      <c r="D18" s="91" t="str">
        <f>IF(cLanguage="English","content / ideas ","Inhalt / Ideen")</f>
        <v>Inhalt / Ideen</v>
      </c>
      <c r="E18" s="91" t="s">
        <v>5</v>
      </c>
      <c r="F18" s="91" t="s">
        <v>5</v>
      </c>
      <c r="G18" s="93"/>
      <c r="H18" s="93"/>
      <c r="I18" s="93"/>
      <c r="J18" s="93"/>
      <c r="K18" s="93"/>
      <c r="L18" s="93"/>
      <c r="M18" s="93"/>
      <c r="N18" s="93"/>
      <c r="O18" s="93"/>
      <c r="P18" s="93"/>
      <c r="Q18" s="93"/>
      <c r="R18" s="93"/>
      <c r="S18" s="93"/>
      <c r="T18" s="93"/>
      <c r="U18" s="93"/>
      <c r="V18" s="93"/>
      <c r="W18" s="93"/>
      <c r="X18" s="93"/>
      <c r="Y18" s="93"/>
      <c r="Z18" s="93"/>
      <c r="AA18" s="93"/>
      <c r="AB18" s="93"/>
      <c r="AC18" s="93"/>
      <c r="AD18" s="93"/>
      <c r="AE18" s="93"/>
      <c r="AF18" s="93"/>
      <c r="AG18" s="93"/>
      <c r="AH18" s="93"/>
      <c r="AI18" s="93"/>
      <c r="AJ18" s="93"/>
      <c r="AK18" s="93"/>
      <c r="AL18" s="93"/>
      <c r="AM18" s="93"/>
      <c r="AN18" s="93"/>
      <c r="AO18" s="93"/>
      <c r="AP18" s="93"/>
      <c r="AQ18" s="93"/>
      <c r="AR18" s="93"/>
    </row>
    <row r="19" spans="1:44" ht="25.5" x14ac:dyDescent="0.2">
      <c r="A19" s="89">
        <v>17</v>
      </c>
      <c r="B19" s="100"/>
      <c r="C19" s="101"/>
      <c r="D19" s="102" t="str">
        <f>IF(cLanguage="English","potential partner","potentieller Partner")</f>
        <v>potentieller Partner</v>
      </c>
      <c r="E19" s="102" t="s">
        <v>6</v>
      </c>
      <c r="F19" s="102" t="s">
        <v>6</v>
      </c>
      <c r="G19" s="93"/>
      <c r="H19" s="93"/>
      <c r="I19" s="93"/>
      <c r="J19" s="93"/>
      <c r="K19" s="93"/>
      <c r="L19" s="93"/>
      <c r="M19" s="93"/>
      <c r="N19" s="93"/>
      <c r="O19" s="93"/>
      <c r="P19" s="93"/>
      <c r="Q19" s="93"/>
      <c r="R19" s="93"/>
      <c r="S19" s="93"/>
      <c r="T19" s="93"/>
      <c r="U19" s="93"/>
      <c r="V19" s="93"/>
      <c r="W19" s="93"/>
      <c r="X19" s="93"/>
      <c r="Y19" s="93"/>
      <c r="Z19" s="93"/>
      <c r="AA19" s="93"/>
      <c r="AB19" s="93"/>
      <c r="AC19" s="93"/>
      <c r="AD19" s="93"/>
      <c r="AE19" s="93"/>
      <c r="AF19" s="93"/>
      <c r="AG19" s="93"/>
      <c r="AH19" s="93"/>
      <c r="AI19" s="93"/>
      <c r="AJ19" s="93"/>
      <c r="AK19" s="93"/>
      <c r="AL19" s="93"/>
      <c r="AM19" s="93"/>
      <c r="AN19" s="93"/>
      <c r="AO19" s="93"/>
      <c r="AP19" s="93"/>
      <c r="AQ19" s="93"/>
      <c r="AR19" s="93"/>
    </row>
    <row r="20" spans="1:44" x14ac:dyDescent="0.2">
      <c r="A20" s="89">
        <v>18</v>
      </c>
      <c r="B20" s="100"/>
      <c r="C20" s="101"/>
      <c r="D20" s="102" t="str">
        <f>IF(cLanguage="English","time effort [MM]","Zeitaufwand [MM]")</f>
        <v>Zeitaufwand [MM]</v>
      </c>
      <c r="E20" s="96">
        <v>8</v>
      </c>
      <c r="F20" s="96">
        <v>8</v>
      </c>
      <c r="G20" s="93"/>
      <c r="H20" s="93"/>
      <c r="I20" s="93"/>
      <c r="J20" s="93"/>
      <c r="K20" s="93"/>
      <c r="L20" s="93"/>
      <c r="M20" s="93"/>
      <c r="N20" s="93"/>
      <c r="O20" s="93"/>
      <c r="P20" s="93"/>
      <c r="Q20" s="93"/>
      <c r="R20" s="93"/>
      <c r="S20" s="93"/>
      <c r="T20" s="93"/>
      <c r="U20" s="93"/>
      <c r="V20" s="93"/>
      <c r="W20" s="93"/>
      <c r="X20" s="93"/>
      <c r="Y20" s="93"/>
      <c r="Z20" s="93"/>
      <c r="AA20" s="93"/>
      <c r="AB20" s="93"/>
      <c r="AC20" s="93"/>
      <c r="AD20" s="93"/>
      <c r="AE20" s="93"/>
      <c r="AF20" s="93"/>
      <c r="AG20" s="93"/>
      <c r="AH20" s="93"/>
      <c r="AI20" s="93"/>
      <c r="AJ20" s="93"/>
      <c r="AK20" s="93"/>
      <c r="AL20" s="93"/>
      <c r="AM20" s="93"/>
      <c r="AN20" s="93"/>
      <c r="AO20" s="93"/>
      <c r="AP20" s="93"/>
      <c r="AQ20" s="93"/>
      <c r="AR20" s="93"/>
    </row>
    <row r="21" spans="1:44" x14ac:dyDescent="0.2">
      <c r="A21" s="89">
        <v>19</v>
      </c>
      <c r="B21" s="100"/>
      <c r="C21" s="101"/>
      <c r="D21" s="102" t="str">
        <f>IF(cLanguage="English","needed capacity ","benötigte Kapazität")</f>
        <v>benötigte Kapazität</v>
      </c>
      <c r="E21" s="96" t="s">
        <v>7</v>
      </c>
      <c r="F21" s="96" t="s">
        <v>7</v>
      </c>
      <c r="G21" s="93"/>
      <c r="H21" s="93"/>
      <c r="I21" s="93"/>
      <c r="J21" s="93"/>
      <c r="K21" s="93"/>
      <c r="L21" s="93"/>
      <c r="M21" s="93"/>
      <c r="N21" s="93"/>
      <c r="O21" s="93"/>
      <c r="P21" s="93"/>
      <c r="Q21" s="93"/>
      <c r="R21" s="93"/>
      <c r="S21" s="93"/>
      <c r="T21" s="93"/>
      <c r="U21" s="93"/>
      <c r="V21" s="93"/>
      <c r="W21" s="93"/>
      <c r="X21" s="93"/>
      <c r="Y21" s="93"/>
      <c r="Z21" s="93"/>
      <c r="AA21" s="93"/>
      <c r="AB21" s="93"/>
      <c r="AC21" s="93"/>
      <c r="AD21" s="93"/>
      <c r="AE21" s="93"/>
      <c r="AF21" s="93"/>
      <c r="AG21" s="93"/>
      <c r="AH21" s="93"/>
      <c r="AI21" s="93"/>
      <c r="AJ21" s="93"/>
      <c r="AK21" s="93"/>
      <c r="AL21" s="93"/>
      <c r="AM21" s="93"/>
      <c r="AN21" s="93"/>
      <c r="AO21" s="93"/>
      <c r="AP21" s="93"/>
      <c r="AQ21" s="93"/>
      <c r="AR21" s="93"/>
    </row>
    <row r="22" spans="1:44" x14ac:dyDescent="0.2">
      <c r="A22" s="89">
        <v>20</v>
      </c>
      <c r="B22" s="100"/>
      <c r="C22" s="101"/>
      <c r="D22" s="102" t="str">
        <f>IF(cLanguage="English","cost effort [T€]","Kostenaufwand [T€]")</f>
        <v>Kostenaufwand [T€]</v>
      </c>
      <c r="E22" s="96">
        <v>10</v>
      </c>
      <c r="F22" s="96">
        <v>10</v>
      </c>
      <c r="G22" s="93"/>
      <c r="H22" s="93"/>
      <c r="I22" s="93"/>
      <c r="J22" s="93"/>
      <c r="K22" s="93"/>
      <c r="L22" s="93"/>
      <c r="M22" s="93"/>
      <c r="N22" s="93"/>
      <c r="O22" s="93"/>
      <c r="P22" s="93"/>
      <c r="Q22" s="93"/>
      <c r="R22" s="93"/>
      <c r="S22" s="93"/>
      <c r="T22" s="93"/>
      <c r="U22" s="93"/>
      <c r="V22" s="93"/>
      <c r="W22" s="93"/>
      <c r="X22" s="93"/>
      <c r="Y22" s="93"/>
      <c r="Z22" s="93"/>
      <c r="AA22" s="93"/>
      <c r="AB22" s="93"/>
      <c r="AC22" s="93"/>
      <c r="AD22" s="93"/>
      <c r="AE22" s="93"/>
      <c r="AF22" s="93"/>
      <c r="AG22" s="93"/>
      <c r="AH22" s="93"/>
      <c r="AI22" s="93"/>
      <c r="AJ22" s="93"/>
      <c r="AK22" s="93"/>
      <c r="AL22" s="93"/>
      <c r="AM22" s="93"/>
      <c r="AN22" s="93"/>
      <c r="AO22" s="93"/>
      <c r="AP22" s="93"/>
      <c r="AQ22" s="93"/>
      <c r="AR22" s="93"/>
    </row>
    <row r="23" spans="1:44" x14ac:dyDescent="0.2">
      <c r="A23" s="89">
        <v>21</v>
      </c>
      <c r="B23" s="100"/>
      <c r="C23" s="101"/>
      <c r="D23" s="102" t="str">
        <f>IF(cLanguage="English","time to C-sample / QG2 [Month]","Zeit bis C-Muster / QG2 [Monate]")</f>
        <v>Zeit bis C-Muster / QG2 [Monate]</v>
      </c>
      <c r="E23" s="96">
        <v>6</v>
      </c>
      <c r="F23" s="96">
        <v>6</v>
      </c>
      <c r="G23" s="93"/>
      <c r="H23" s="93"/>
      <c r="I23" s="93"/>
      <c r="J23" s="93"/>
      <c r="K23" s="93"/>
      <c r="L23" s="93"/>
      <c r="M23" s="93"/>
      <c r="N23" s="93"/>
      <c r="O23" s="93"/>
      <c r="P23" s="93"/>
      <c r="Q23" s="93"/>
      <c r="R23" s="93"/>
      <c r="S23" s="93"/>
      <c r="T23" s="93"/>
      <c r="U23" s="93"/>
      <c r="V23" s="93"/>
      <c r="W23" s="93"/>
      <c r="X23" s="93"/>
      <c r="Y23" s="93"/>
      <c r="Z23" s="93"/>
      <c r="AA23" s="93"/>
      <c r="AB23" s="93"/>
      <c r="AC23" s="93"/>
      <c r="AD23" s="93"/>
      <c r="AE23" s="93"/>
      <c r="AF23" s="93"/>
      <c r="AG23" s="93"/>
      <c r="AH23" s="93"/>
      <c r="AI23" s="93"/>
      <c r="AJ23" s="93"/>
      <c r="AK23" s="93"/>
      <c r="AL23" s="93"/>
      <c r="AM23" s="93"/>
      <c r="AN23" s="93"/>
      <c r="AO23" s="93"/>
      <c r="AP23" s="93"/>
      <c r="AQ23" s="93"/>
      <c r="AR23" s="93"/>
    </row>
    <row r="24" spans="1:44" x14ac:dyDescent="0.2">
      <c r="A24" s="89">
        <v>22</v>
      </c>
      <c r="B24" s="100"/>
      <c r="C24" s="101"/>
      <c r="D24" s="103" t="str">
        <f>IF(cLanguage="English","time to D-sample [Month]","Zeit bis D-Muster [Monate]")</f>
        <v>Zeit bis D-Muster [Monate]</v>
      </c>
      <c r="E24" s="104">
        <v>12</v>
      </c>
      <c r="F24" s="104">
        <v>12</v>
      </c>
      <c r="G24" s="93"/>
      <c r="H24" s="93"/>
      <c r="I24" s="93"/>
      <c r="J24" s="93"/>
      <c r="K24" s="93"/>
      <c r="L24" s="93"/>
      <c r="M24" s="93"/>
      <c r="N24" s="93"/>
      <c r="O24" s="93"/>
      <c r="P24" s="93"/>
      <c r="Q24" s="93"/>
      <c r="R24" s="93"/>
      <c r="S24" s="93"/>
      <c r="T24" s="93"/>
      <c r="U24" s="93"/>
      <c r="V24" s="93"/>
      <c r="W24" s="93"/>
      <c r="X24" s="93"/>
      <c r="Y24" s="93"/>
      <c r="Z24" s="93"/>
      <c r="AA24" s="93"/>
      <c r="AB24" s="93"/>
      <c r="AC24" s="93"/>
      <c r="AD24" s="93"/>
      <c r="AE24" s="93"/>
      <c r="AF24" s="93"/>
      <c r="AG24" s="93"/>
      <c r="AH24" s="93"/>
      <c r="AI24" s="93"/>
      <c r="AJ24" s="93"/>
      <c r="AK24" s="93"/>
      <c r="AL24" s="93"/>
      <c r="AM24" s="93"/>
      <c r="AN24" s="93"/>
      <c r="AO24" s="93"/>
      <c r="AP24" s="93"/>
      <c r="AQ24" s="93"/>
      <c r="AR24" s="93"/>
    </row>
    <row r="25" spans="1:44" x14ac:dyDescent="0.2">
      <c r="A25" s="89">
        <v>23</v>
      </c>
      <c r="B25" s="100"/>
      <c r="C25" s="101"/>
      <c r="D25" s="91" t="str">
        <f>IF(cLanguage="English","Knowhow availability","KnowHow Verfügbarkeit")</f>
        <v>KnowHow Verfügbarkeit</v>
      </c>
      <c r="E25" s="91">
        <v>3</v>
      </c>
      <c r="F25" s="91">
        <v>3</v>
      </c>
      <c r="G25" s="91"/>
      <c r="H25" s="91"/>
      <c r="I25" s="91"/>
      <c r="J25" s="91"/>
      <c r="K25" s="91"/>
      <c r="L25" s="91"/>
      <c r="M25" s="91"/>
      <c r="N25" s="91"/>
      <c r="O25" s="91"/>
      <c r="P25" s="91"/>
      <c r="Q25" s="91"/>
      <c r="R25" s="91"/>
      <c r="S25" s="91"/>
      <c r="T25" s="91"/>
      <c r="U25" s="91"/>
      <c r="V25" s="91"/>
      <c r="W25" s="91"/>
      <c r="X25" s="91"/>
      <c r="Y25" s="91"/>
      <c r="Z25" s="91"/>
      <c r="AA25" s="91"/>
      <c r="AB25" s="91"/>
      <c r="AC25" s="91"/>
      <c r="AD25" s="91"/>
      <c r="AE25" s="91"/>
      <c r="AF25" s="91"/>
      <c r="AG25" s="91"/>
      <c r="AH25" s="91"/>
      <c r="AI25" s="91"/>
      <c r="AJ25" s="91"/>
      <c r="AK25" s="91"/>
      <c r="AL25" s="91"/>
      <c r="AM25" s="91"/>
      <c r="AN25" s="91"/>
      <c r="AO25" s="91"/>
      <c r="AP25" s="91"/>
      <c r="AQ25" s="91"/>
      <c r="AR25" s="91"/>
    </row>
    <row r="26" spans="1:44" x14ac:dyDescent="0.2">
      <c r="A26" s="89">
        <v>24</v>
      </c>
      <c r="B26" s="100"/>
      <c r="C26" s="101"/>
      <c r="D26" s="95" t="str">
        <f>IF(cLanguage="English","possibility of completion on budget","Budgeteinhaltung")</f>
        <v>Budgeteinhaltung</v>
      </c>
      <c r="E26" s="96">
        <v>3</v>
      </c>
      <c r="F26" s="96">
        <v>3</v>
      </c>
      <c r="G26" s="96"/>
      <c r="H26" s="96"/>
      <c r="I26" s="96"/>
      <c r="J26" s="96"/>
      <c r="K26" s="96"/>
      <c r="L26" s="96"/>
      <c r="M26" s="96"/>
      <c r="N26" s="96"/>
      <c r="O26" s="96"/>
      <c r="P26" s="96"/>
      <c r="Q26" s="96"/>
      <c r="R26" s="96"/>
      <c r="S26" s="96"/>
      <c r="T26" s="96"/>
      <c r="U26" s="96"/>
      <c r="V26" s="96"/>
      <c r="W26" s="96"/>
      <c r="X26" s="96"/>
      <c r="Y26" s="96"/>
      <c r="Z26" s="96"/>
      <c r="AA26" s="96"/>
      <c r="AB26" s="96"/>
      <c r="AC26" s="96"/>
      <c r="AD26" s="96"/>
      <c r="AE26" s="96"/>
      <c r="AF26" s="96"/>
      <c r="AG26" s="96"/>
      <c r="AH26" s="96"/>
      <c r="AI26" s="96"/>
      <c r="AJ26" s="96"/>
      <c r="AK26" s="96"/>
      <c r="AL26" s="96"/>
      <c r="AM26" s="96"/>
      <c r="AN26" s="96"/>
      <c r="AO26" s="96"/>
      <c r="AP26" s="96"/>
      <c r="AQ26" s="96"/>
      <c r="AR26" s="96"/>
    </row>
    <row r="27" spans="1:44" ht="13.5" thickBot="1" x14ac:dyDescent="0.25">
      <c r="A27" s="89">
        <v>25</v>
      </c>
      <c r="B27" s="105"/>
      <c r="C27" s="106"/>
      <c r="D27" s="107" t="str">
        <f>IF(cLanguage="English","possibility of completion on time","Termineinhaltung")</f>
        <v>Termineinhaltung</v>
      </c>
      <c r="E27" s="104">
        <v>2</v>
      </c>
      <c r="F27" s="104">
        <v>3</v>
      </c>
      <c r="G27" s="104">
        <v>2</v>
      </c>
      <c r="H27" s="104"/>
      <c r="I27" s="104"/>
      <c r="J27" s="104"/>
      <c r="K27" s="104"/>
      <c r="L27" s="104"/>
      <c r="M27" s="104"/>
      <c r="N27" s="104"/>
      <c r="O27" s="104"/>
      <c r="P27" s="104"/>
      <c r="Q27" s="104"/>
      <c r="R27" s="104"/>
      <c r="S27" s="104"/>
      <c r="T27" s="104"/>
      <c r="U27" s="104"/>
      <c r="V27" s="104"/>
      <c r="W27" s="104"/>
      <c r="X27" s="104"/>
      <c r="Y27" s="104"/>
      <c r="Z27" s="104"/>
      <c r="AA27" s="104"/>
      <c r="AB27" s="104"/>
      <c r="AC27" s="104"/>
      <c r="AD27" s="104"/>
      <c r="AE27" s="104"/>
      <c r="AF27" s="104"/>
      <c r="AG27" s="104"/>
      <c r="AH27" s="104"/>
      <c r="AI27" s="104"/>
      <c r="AJ27" s="104"/>
      <c r="AK27" s="104"/>
      <c r="AL27" s="104"/>
      <c r="AM27" s="104"/>
      <c r="AN27" s="104"/>
      <c r="AO27" s="104"/>
      <c r="AP27" s="104"/>
      <c r="AQ27" s="104"/>
      <c r="AR27" s="104"/>
    </row>
    <row r="28" spans="1:44" s="122" customFormat="1" x14ac:dyDescent="0.2">
      <c r="A28" s="118">
        <v>26</v>
      </c>
      <c r="B28" s="119" t="str">
        <f>IF(cLanguage="English"," risk summary","Übersicht Gesamtrisiko")</f>
        <v>Übersicht Gesamtrisiko</v>
      </c>
      <c r="C28" s="119"/>
      <c r="D28" s="120" t="str">
        <f>IF(cLanguage="Englisg","maturity level for sampling phase","Reifegrad für Musterphase")</f>
        <v>Reifegrad für Musterphase</v>
      </c>
      <c r="E28" s="121">
        <f>IF(E7&lt;&gt;"",E7,"")</f>
        <v>2</v>
      </c>
      <c r="F28" s="121">
        <f t="shared" ref="F28" si="16">IF(F7&lt;&gt;"",F7,"")</f>
        <v>3</v>
      </c>
      <c r="G28" s="121" t="str">
        <f t="shared" ref="G28:H28" si="17">IF(G7&lt;&gt;"",G7,"")</f>
        <v/>
      </c>
      <c r="H28" s="121" t="str">
        <f t="shared" si="17"/>
        <v/>
      </c>
      <c r="I28" s="121" t="str">
        <f t="shared" ref="I28:AR28" si="18">IF(I7&lt;&gt;"",I7,"")</f>
        <v/>
      </c>
      <c r="J28" s="121" t="str">
        <f t="shared" si="18"/>
        <v/>
      </c>
      <c r="K28" s="121" t="str">
        <f t="shared" si="18"/>
        <v/>
      </c>
      <c r="L28" s="121" t="str">
        <f t="shared" si="18"/>
        <v/>
      </c>
      <c r="M28" s="121" t="str">
        <f t="shared" si="18"/>
        <v/>
      </c>
      <c r="N28" s="121" t="str">
        <f t="shared" si="18"/>
        <v/>
      </c>
      <c r="O28" s="121" t="str">
        <f t="shared" si="18"/>
        <v/>
      </c>
      <c r="P28" s="121" t="str">
        <f t="shared" si="18"/>
        <v/>
      </c>
      <c r="Q28" s="121" t="str">
        <f t="shared" si="18"/>
        <v/>
      </c>
      <c r="R28" s="121" t="str">
        <f t="shared" si="18"/>
        <v/>
      </c>
      <c r="S28" s="121" t="str">
        <f t="shared" si="18"/>
        <v/>
      </c>
      <c r="T28" s="121" t="str">
        <f t="shared" si="18"/>
        <v/>
      </c>
      <c r="U28" s="121" t="str">
        <f t="shared" si="18"/>
        <v/>
      </c>
      <c r="V28" s="121" t="str">
        <f t="shared" si="18"/>
        <v/>
      </c>
      <c r="W28" s="121" t="str">
        <f t="shared" si="18"/>
        <v/>
      </c>
      <c r="X28" s="121" t="str">
        <f t="shared" si="18"/>
        <v/>
      </c>
      <c r="Y28" s="121" t="str">
        <f t="shared" si="18"/>
        <v/>
      </c>
      <c r="Z28" s="121" t="str">
        <f t="shared" si="18"/>
        <v/>
      </c>
      <c r="AA28" s="121" t="str">
        <f t="shared" si="18"/>
        <v/>
      </c>
      <c r="AB28" s="121" t="str">
        <f t="shared" si="18"/>
        <v/>
      </c>
      <c r="AC28" s="121" t="str">
        <f t="shared" si="18"/>
        <v/>
      </c>
      <c r="AD28" s="121" t="str">
        <f t="shared" si="18"/>
        <v/>
      </c>
      <c r="AE28" s="121" t="str">
        <f t="shared" si="18"/>
        <v/>
      </c>
      <c r="AF28" s="121" t="str">
        <f t="shared" si="18"/>
        <v/>
      </c>
      <c r="AG28" s="121" t="str">
        <f t="shared" si="18"/>
        <v/>
      </c>
      <c r="AH28" s="121" t="str">
        <f t="shared" si="18"/>
        <v/>
      </c>
      <c r="AI28" s="121" t="str">
        <f t="shared" si="18"/>
        <v/>
      </c>
      <c r="AJ28" s="121" t="str">
        <f t="shared" si="18"/>
        <v/>
      </c>
      <c r="AK28" s="121" t="str">
        <f t="shared" si="18"/>
        <v/>
      </c>
      <c r="AL28" s="121" t="str">
        <f t="shared" si="18"/>
        <v/>
      </c>
      <c r="AM28" s="121" t="str">
        <f t="shared" si="18"/>
        <v/>
      </c>
      <c r="AN28" s="121" t="str">
        <f t="shared" si="18"/>
        <v/>
      </c>
      <c r="AO28" s="121" t="str">
        <f t="shared" si="18"/>
        <v/>
      </c>
      <c r="AP28" s="121" t="str">
        <f t="shared" si="18"/>
        <v/>
      </c>
      <c r="AQ28" s="121" t="str">
        <f t="shared" si="18"/>
        <v/>
      </c>
      <c r="AR28" s="121" t="str">
        <f t="shared" si="18"/>
        <v/>
      </c>
    </row>
    <row r="29" spans="1:44" s="122" customFormat="1" x14ac:dyDescent="0.2">
      <c r="A29" s="123">
        <v>27</v>
      </c>
      <c r="B29" s="124"/>
      <c r="C29" s="124"/>
      <c r="D29" s="125" t="str">
        <f>IF(cLanguage="English","process maturity degree for series production","Prozessreifegrad Serie")</f>
        <v>Prozessreifegrad Serie</v>
      </c>
      <c r="E29" s="126">
        <f t="shared" ref="E29" si="19">IF(AND(E8&gt;1,E8&lt;3),E8+SUM(E10:E16)*E9/63,IF(E8=3,E8+SUM(E10:E16)/21,IF(E8=1,E8,"")))</f>
        <v>1</v>
      </c>
      <c r="F29" s="126">
        <f t="shared" ref="F29" si="20">IF(AND(F8&gt;1,F8&lt;3),F8+SUM(F10:F16)*F9/63,IF(F8=3,F8+SUM(F10:F16)/21,IF(F8=1,F8,"")))</f>
        <v>2.6666666666666665</v>
      </c>
      <c r="G29" s="126">
        <f t="shared" ref="G29:H29" si="21">IF(AND(G8&gt;1,G8&lt;3),G8+SUM(G10:G16)*G9/63,IF(G8=3,G8+SUM(G10:G16)/21,IF(G8=1,G8,"")))</f>
        <v>3</v>
      </c>
      <c r="H29" s="126" t="str">
        <f t="shared" si="21"/>
        <v/>
      </c>
      <c r="I29" s="126" t="str">
        <f t="shared" ref="I29:AR29" si="22">IF(AND(I8&gt;1,I8&lt;3),I8+SUM(I10:I16)*I9/63,IF(I8=3,I8+SUM(I10:I16)/21,IF(I8=1,I8,"")))</f>
        <v/>
      </c>
      <c r="J29" s="126" t="str">
        <f t="shared" si="22"/>
        <v/>
      </c>
      <c r="K29" s="126" t="str">
        <f t="shared" si="22"/>
        <v/>
      </c>
      <c r="L29" s="126" t="str">
        <f t="shared" si="22"/>
        <v/>
      </c>
      <c r="M29" s="126" t="str">
        <f t="shared" si="22"/>
        <v/>
      </c>
      <c r="N29" s="126" t="str">
        <f t="shared" si="22"/>
        <v/>
      </c>
      <c r="O29" s="126" t="str">
        <f t="shared" si="22"/>
        <v/>
      </c>
      <c r="P29" s="126" t="str">
        <f t="shared" si="22"/>
        <v/>
      </c>
      <c r="Q29" s="126" t="str">
        <f t="shared" si="22"/>
        <v/>
      </c>
      <c r="R29" s="126" t="str">
        <f t="shared" si="22"/>
        <v/>
      </c>
      <c r="S29" s="126" t="str">
        <f t="shared" si="22"/>
        <v/>
      </c>
      <c r="T29" s="126">
        <f t="shared" si="22"/>
        <v>3</v>
      </c>
      <c r="U29" s="126">
        <f t="shared" si="22"/>
        <v>3</v>
      </c>
      <c r="V29" s="126">
        <f t="shared" si="22"/>
        <v>3</v>
      </c>
      <c r="W29" s="126">
        <f t="shared" si="22"/>
        <v>3</v>
      </c>
      <c r="X29" s="126">
        <f t="shared" si="22"/>
        <v>3</v>
      </c>
      <c r="Y29" s="126">
        <f t="shared" si="22"/>
        <v>3</v>
      </c>
      <c r="Z29" s="126">
        <f t="shared" si="22"/>
        <v>3</v>
      </c>
      <c r="AA29" s="126">
        <f t="shared" si="22"/>
        <v>3</v>
      </c>
      <c r="AB29" s="126">
        <f t="shared" si="22"/>
        <v>3</v>
      </c>
      <c r="AC29" s="126">
        <f t="shared" si="22"/>
        <v>3</v>
      </c>
      <c r="AD29" s="126">
        <f t="shared" si="22"/>
        <v>3</v>
      </c>
      <c r="AE29" s="126">
        <f t="shared" si="22"/>
        <v>3</v>
      </c>
      <c r="AF29" s="126">
        <f t="shared" si="22"/>
        <v>3</v>
      </c>
      <c r="AG29" s="126">
        <f t="shared" si="22"/>
        <v>3</v>
      </c>
      <c r="AH29" s="126">
        <f t="shared" si="22"/>
        <v>3</v>
      </c>
      <c r="AI29" s="126">
        <f t="shared" si="22"/>
        <v>3</v>
      </c>
      <c r="AJ29" s="126">
        <f t="shared" si="22"/>
        <v>3</v>
      </c>
      <c r="AK29" s="126">
        <f t="shared" si="22"/>
        <v>3</v>
      </c>
      <c r="AL29" s="126">
        <f t="shared" si="22"/>
        <v>3</v>
      </c>
      <c r="AM29" s="126">
        <f t="shared" si="22"/>
        <v>3</v>
      </c>
      <c r="AN29" s="126">
        <f t="shared" si="22"/>
        <v>3</v>
      </c>
      <c r="AO29" s="126">
        <f t="shared" si="22"/>
        <v>3</v>
      </c>
      <c r="AP29" s="126">
        <f t="shared" si="22"/>
        <v>3</v>
      </c>
      <c r="AQ29" s="126">
        <f t="shared" si="22"/>
        <v>3</v>
      </c>
      <c r="AR29" s="126">
        <f t="shared" si="22"/>
        <v>3</v>
      </c>
    </row>
    <row r="30" spans="1:44" s="122" customFormat="1" ht="13.5" thickBot="1" x14ac:dyDescent="0.25">
      <c r="A30" s="127">
        <v>28</v>
      </c>
      <c r="B30" s="128"/>
      <c r="C30" s="128"/>
      <c r="D30" s="129" t="str">
        <f>IF(cLanguage="English","maturity level of process development ","Reifegrad Prozessentwicklung")</f>
        <v>Reifegrad Prozessentwicklung</v>
      </c>
      <c r="E30" s="130">
        <f t="shared" ref="E30" si="23">IF(E25=3,MIN(E26:E27),IF(E25&lt;&gt;"",1,""))</f>
        <v>2</v>
      </c>
      <c r="F30" s="130">
        <f t="shared" ref="F30" si="24">IF(F25=3,MIN(F26:F27),IF(F25&lt;&gt;"",1,""))</f>
        <v>3</v>
      </c>
      <c r="G30" s="130" t="str">
        <f t="shared" ref="G30:H30" si="25">IF(G25=3,MIN(G26:G27),IF(G25&lt;&gt;"",1,""))</f>
        <v/>
      </c>
      <c r="H30" s="130" t="str">
        <f t="shared" si="25"/>
        <v/>
      </c>
      <c r="I30" s="130" t="str">
        <f t="shared" ref="I30:AR30" si="26">IF(I25=3,MIN(I26:I27),IF(I25&lt;&gt;"",1,""))</f>
        <v/>
      </c>
      <c r="J30" s="130" t="str">
        <f t="shared" si="26"/>
        <v/>
      </c>
      <c r="K30" s="130" t="str">
        <f t="shared" si="26"/>
        <v/>
      </c>
      <c r="L30" s="130" t="str">
        <f t="shared" si="26"/>
        <v/>
      </c>
      <c r="M30" s="130" t="str">
        <f t="shared" si="26"/>
        <v/>
      </c>
      <c r="N30" s="130" t="str">
        <f t="shared" si="26"/>
        <v/>
      </c>
      <c r="O30" s="130" t="str">
        <f t="shared" si="26"/>
        <v/>
      </c>
      <c r="P30" s="130" t="str">
        <f t="shared" si="26"/>
        <v/>
      </c>
      <c r="Q30" s="130" t="str">
        <f t="shared" si="26"/>
        <v/>
      </c>
      <c r="R30" s="130" t="str">
        <f t="shared" si="26"/>
        <v/>
      </c>
      <c r="S30" s="130" t="str">
        <f t="shared" si="26"/>
        <v/>
      </c>
      <c r="T30" s="130" t="str">
        <f t="shared" si="26"/>
        <v/>
      </c>
      <c r="U30" s="130" t="str">
        <f t="shared" si="26"/>
        <v/>
      </c>
      <c r="V30" s="130" t="str">
        <f t="shared" si="26"/>
        <v/>
      </c>
      <c r="W30" s="130" t="str">
        <f t="shared" si="26"/>
        <v/>
      </c>
      <c r="X30" s="130" t="str">
        <f t="shared" si="26"/>
        <v/>
      </c>
      <c r="Y30" s="130" t="str">
        <f t="shared" si="26"/>
        <v/>
      </c>
      <c r="Z30" s="130" t="str">
        <f t="shared" si="26"/>
        <v/>
      </c>
      <c r="AA30" s="130" t="str">
        <f t="shared" si="26"/>
        <v/>
      </c>
      <c r="AB30" s="130" t="str">
        <f t="shared" si="26"/>
        <v/>
      </c>
      <c r="AC30" s="130" t="str">
        <f t="shared" si="26"/>
        <v/>
      </c>
      <c r="AD30" s="130" t="str">
        <f t="shared" si="26"/>
        <v/>
      </c>
      <c r="AE30" s="130" t="str">
        <f t="shared" si="26"/>
        <v/>
      </c>
      <c r="AF30" s="130" t="str">
        <f t="shared" si="26"/>
        <v/>
      </c>
      <c r="AG30" s="130" t="str">
        <f t="shared" si="26"/>
        <v/>
      </c>
      <c r="AH30" s="130" t="str">
        <f t="shared" si="26"/>
        <v/>
      </c>
      <c r="AI30" s="130" t="str">
        <f t="shared" si="26"/>
        <v/>
      </c>
      <c r="AJ30" s="130" t="str">
        <f t="shared" si="26"/>
        <v/>
      </c>
      <c r="AK30" s="130" t="str">
        <f t="shared" si="26"/>
        <v/>
      </c>
      <c r="AL30" s="130" t="str">
        <f t="shared" si="26"/>
        <v/>
      </c>
      <c r="AM30" s="130" t="str">
        <f t="shared" si="26"/>
        <v/>
      </c>
      <c r="AN30" s="130" t="str">
        <f t="shared" si="26"/>
        <v/>
      </c>
      <c r="AO30" s="130" t="str">
        <f t="shared" si="26"/>
        <v/>
      </c>
      <c r="AP30" s="130" t="str">
        <f t="shared" si="26"/>
        <v/>
      </c>
      <c r="AQ30" s="130" t="str">
        <f t="shared" si="26"/>
        <v/>
      </c>
      <c r="AR30" s="130" t="str">
        <f t="shared" si="26"/>
        <v/>
      </c>
    </row>
    <row r="31" spans="1:44" ht="18.75" hidden="1" customHeight="1" x14ac:dyDescent="0.2">
      <c r="A31" s="109"/>
      <c r="B31" s="110"/>
      <c r="C31" s="110"/>
      <c r="D31" s="110"/>
      <c r="E31" s="110">
        <f t="shared" ref="E31:F31" si="27">IF(MAX(E29:E30)&lt;=2,1,0)</f>
        <v>1</v>
      </c>
      <c r="F31" s="110">
        <f t="shared" si="27"/>
        <v>0</v>
      </c>
      <c r="G31" s="110">
        <f t="shared" ref="G31" si="28">IF(MAX(G29:G30)&lt;=2,1,0)</f>
        <v>0</v>
      </c>
      <c r="H31" s="110"/>
      <c r="I31" s="110"/>
      <c r="J31" s="110"/>
      <c r="K31" s="110"/>
      <c r="L31" s="110"/>
      <c r="M31" s="110"/>
      <c r="N31" s="110"/>
      <c r="O31" s="110"/>
      <c r="P31" s="110"/>
      <c r="Q31" s="110"/>
      <c r="R31" s="110"/>
      <c r="S31" s="110"/>
      <c r="T31" s="110"/>
      <c r="U31" s="110"/>
      <c r="V31" s="110"/>
      <c r="W31" s="110"/>
      <c r="X31" s="110"/>
      <c r="Y31" s="110"/>
      <c r="Z31" s="110"/>
      <c r="AA31" s="110"/>
      <c r="AB31" s="110"/>
      <c r="AC31" s="110"/>
      <c r="AD31" s="110"/>
      <c r="AE31" s="110"/>
      <c r="AF31" s="110"/>
      <c r="AG31" s="110"/>
      <c r="AH31" s="110"/>
      <c r="AI31" s="110"/>
      <c r="AJ31" s="110"/>
      <c r="AK31" s="110"/>
      <c r="AL31" s="110"/>
      <c r="AM31" s="110"/>
      <c r="AN31" s="110"/>
      <c r="AO31" s="110"/>
      <c r="AP31" s="110"/>
      <c r="AQ31" s="110"/>
      <c r="AR31" s="110"/>
    </row>
    <row r="32" spans="1:44" ht="13.5" thickBot="1" x14ac:dyDescent="0.25">
      <c r="A32" s="111" t="s">
        <v>90</v>
      </c>
      <c r="B32" s="110"/>
      <c r="C32" s="110"/>
      <c r="D32" s="110"/>
      <c r="E32" s="110"/>
      <c r="F32" s="110"/>
      <c r="G32" s="110"/>
      <c r="H32" s="110"/>
      <c r="I32" s="110"/>
      <c r="J32" s="110"/>
      <c r="K32" s="110"/>
      <c r="L32" s="110"/>
      <c r="M32" s="110"/>
      <c r="N32" s="110"/>
      <c r="O32" s="110"/>
      <c r="P32" s="110"/>
      <c r="Q32" s="110"/>
      <c r="R32" s="110"/>
      <c r="S32" s="110"/>
      <c r="T32" s="110"/>
      <c r="U32" s="110"/>
      <c r="V32" s="110"/>
      <c r="W32" s="110"/>
      <c r="X32" s="110"/>
      <c r="Y32" s="110"/>
      <c r="Z32" s="110"/>
      <c r="AA32" s="110"/>
      <c r="AB32" s="110"/>
      <c r="AC32" s="110"/>
      <c r="AD32" s="110"/>
      <c r="AE32" s="110"/>
      <c r="AF32" s="110"/>
      <c r="AG32" s="110"/>
      <c r="AH32" s="110"/>
      <c r="AI32" s="110"/>
      <c r="AJ32" s="110"/>
      <c r="AK32" s="110"/>
      <c r="AL32" s="110"/>
      <c r="AM32" s="110"/>
      <c r="AN32" s="110"/>
      <c r="AO32" s="110"/>
      <c r="AP32" s="110"/>
      <c r="AQ32" s="110"/>
      <c r="AR32" s="110"/>
    </row>
    <row r="33" spans="1:4" ht="72" customHeight="1" x14ac:dyDescent="0.2">
      <c r="A33" s="84">
        <v>29</v>
      </c>
      <c r="B33" s="112" t="str">
        <f>IF(cLanguage="English","Number of critical processes in sampling phase","Anzahl kritischer Prozesse in Musterphase")</f>
        <v>Anzahl kritischer Prozesse in Musterphase</v>
      </c>
      <c r="C33" s="113">
        <f>COUNTIF(E28:AR28,"&lt;=2")</f>
        <v>1</v>
      </c>
      <c r="D33" s="114"/>
    </row>
    <row r="34" spans="1:4" ht="63.75" customHeight="1" thickBot="1" x14ac:dyDescent="0.25">
      <c r="A34" s="108">
        <v>30</v>
      </c>
      <c r="B34" s="115" t="str">
        <f>IF(cLanguage="English","Number of critical process in series production","Anzahl kritischer Prozesse in Serie")</f>
        <v>Anzahl kritischer Prozesse in Serie</v>
      </c>
      <c r="C34" s="116">
        <f>SUM(E31:AR31)</f>
        <v>1</v>
      </c>
      <c r="D34" s="114"/>
    </row>
    <row r="44" spans="1:4" x14ac:dyDescent="0.2">
      <c r="B44" s="117"/>
      <c r="C44" s="117"/>
    </row>
    <row r="45" spans="1:4" x14ac:dyDescent="0.2">
      <c r="B45" s="117"/>
      <c r="C45" s="117"/>
    </row>
    <row r="46" spans="1:4" x14ac:dyDescent="0.2">
      <c r="B46" s="117"/>
      <c r="C46" s="117"/>
    </row>
    <row r="47" spans="1:4" x14ac:dyDescent="0.2">
      <c r="B47" s="117"/>
      <c r="C47" s="117"/>
    </row>
  </sheetData>
  <sheetProtection selectLockedCells="1"/>
  <mergeCells count="9">
    <mergeCell ref="B18:C27"/>
    <mergeCell ref="B28:C30"/>
    <mergeCell ref="B3:C6"/>
    <mergeCell ref="B7:C8"/>
    <mergeCell ref="B9:C9"/>
    <mergeCell ref="B10:B16"/>
    <mergeCell ref="C10:C13"/>
    <mergeCell ref="C15:C16"/>
    <mergeCell ref="B17:C17"/>
  </mergeCells>
  <conditionalFormatting sqref="E28:F28">
    <cfRule type="cellIs" dxfId="1195" priority="4488" operator="equal">
      <formula>3</formula>
    </cfRule>
    <cfRule type="cellIs" dxfId="1194" priority="4489" operator="equal">
      <formula>2</formula>
    </cfRule>
    <cfRule type="cellIs" dxfId="1193" priority="4490" operator="equal">
      <formula>1</formula>
    </cfRule>
  </conditionalFormatting>
  <conditionalFormatting sqref="E30:F30">
    <cfRule type="cellIs" dxfId="1192" priority="4482" operator="equal">
      <formula>3</formula>
    </cfRule>
    <cfRule type="cellIs" dxfId="1191" priority="4483" operator="equal">
      <formula>2</formula>
    </cfRule>
    <cfRule type="cellIs" dxfId="1190" priority="4484" operator="equal">
      <formula>1</formula>
    </cfRule>
  </conditionalFormatting>
  <conditionalFormatting sqref="E29:F29">
    <cfRule type="cellIs" dxfId="1189" priority="4474" operator="between">
      <formula>3.01</formula>
      <formula>4</formula>
    </cfRule>
    <cfRule type="cellIs" dxfId="1188" priority="4475" operator="between">
      <formula>2.01</formula>
      <formula>3</formula>
    </cfRule>
    <cfRule type="cellIs" dxfId="1187" priority="4476" operator="lessThanOrEqual">
      <formula>2</formula>
    </cfRule>
  </conditionalFormatting>
  <conditionalFormatting sqref="E29:F29">
    <cfRule type="expression" dxfId="1186" priority="4473">
      <formula>E29=""</formula>
    </cfRule>
  </conditionalFormatting>
  <conditionalFormatting sqref="E30:F30">
    <cfRule type="expression" dxfId="1185" priority="4455">
      <formula>E30=""</formula>
    </cfRule>
  </conditionalFormatting>
  <conditionalFormatting sqref="E28:F28">
    <cfRule type="expression" dxfId="1184" priority="4454">
      <formula>E28=""</formula>
    </cfRule>
  </conditionalFormatting>
  <conditionalFormatting sqref="E9:F16">
    <cfRule type="cellIs" dxfId="1183" priority="4447" operator="equal">
      <formula>"0"</formula>
    </cfRule>
  </conditionalFormatting>
  <conditionalFormatting sqref="G28">
    <cfRule type="cellIs" dxfId="1182" priority="4327" operator="equal">
      <formula>3</formula>
    </cfRule>
    <cfRule type="cellIs" dxfId="1181" priority="4328" operator="equal">
      <formula>2</formula>
    </cfRule>
    <cfRule type="cellIs" dxfId="1180" priority="4329" operator="equal">
      <formula>1</formula>
    </cfRule>
  </conditionalFormatting>
  <conditionalFormatting sqref="G30">
    <cfRule type="cellIs" dxfId="1179" priority="4324" operator="equal">
      <formula>3</formula>
    </cfRule>
    <cfRule type="cellIs" dxfId="1178" priority="4325" operator="equal">
      <formula>2</formula>
    </cfRule>
    <cfRule type="cellIs" dxfId="1177" priority="4326" operator="equal">
      <formula>1</formula>
    </cfRule>
  </conditionalFormatting>
  <conditionalFormatting sqref="G29">
    <cfRule type="cellIs" dxfId="1176" priority="4321" operator="between">
      <formula>3.01</formula>
      <formula>4</formula>
    </cfRule>
    <cfRule type="cellIs" dxfId="1175" priority="4322" operator="between">
      <formula>2.01</formula>
      <formula>3</formula>
    </cfRule>
    <cfRule type="cellIs" dxfId="1174" priority="4323" operator="lessThanOrEqual">
      <formula>2</formula>
    </cfRule>
  </conditionalFormatting>
  <conditionalFormatting sqref="G29">
    <cfRule type="expression" dxfId="1173" priority="4320">
      <formula>G29=""</formula>
    </cfRule>
  </conditionalFormatting>
  <conditionalFormatting sqref="G30">
    <cfRule type="expression" dxfId="1172" priority="4319">
      <formula>G30=""</formula>
    </cfRule>
  </conditionalFormatting>
  <conditionalFormatting sqref="G28">
    <cfRule type="expression" dxfId="1171" priority="4318">
      <formula>G28=""</formula>
    </cfRule>
  </conditionalFormatting>
  <conditionalFormatting sqref="G9:G16">
    <cfRule type="cellIs" dxfId="1170" priority="4317" operator="equal">
      <formula>"0"</formula>
    </cfRule>
  </conditionalFormatting>
  <conditionalFormatting sqref="H28">
    <cfRule type="cellIs" dxfId="1169" priority="479" operator="equal">
      <formula>3</formula>
    </cfRule>
    <cfRule type="cellIs" dxfId="1168" priority="480" operator="equal">
      <formula>2</formula>
    </cfRule>
    <cfRule type="cellIs" dxfId="1167" priority="481" operator="equal">
      <formula>1</formula>
    </cfRule>
  </conditionalFormatting>
  <conditionalFormatting sqref="H30">
    <cfRule type="cellIs" dxfId="1166" priority="476" operator="equal">
      <formula>3</formula>
    </cfRule>
    <cfRule type="cellIs" dxfId="1165" priority="477" operator="equal">
      <formula>2</formula>
    </cfRule>
    <cfRule type="cellIs" dxfId="1164" priority="478" operator="equal">
      <formula>1</formula>
    </cfRule>
  </conditionalFormatting>
  <conditionalFormatting sqref="H29">
    <cfRule type="cellIs" dxfId="1163" priority="473" operator="between">
      <formula>3.01</formula>
      <formula>4</formula>
    </cfRule>
    <cfRule type="cellIs" dxfId="1162" priority="474" operator="between">
      <formula>2.01</formula>
      <formula>3</formula>
    </cfRule>
    <cfRule type="cellIs" dxfId="1161" priority="475" operator="lessThanOrEqual">
      <formula>2</formula>
    </cfRule>
  </conditionalFormatting>
  <conditionalFormatting sqref="H29">
    <cfRule type="expression" dxfId="1160" priority="472">
      <formula>H29=""</formula>
    </cfRule>
  </conditionalFormatting>
  <conditionalFormatting sqref="H30">
    <cfRule type="expression" dxfId="1159" priority="471">
      <formula>H30=""</formula>
    </cfRule>
  </conditionalFormatting>
  <conditionalFormatting sqref="H28">
    <cfRule type="expression" dxfId="1158" priority="470">
      <formula>H28=""</formula>
    </cfRule>
  </conditionalFormatting>
  <conditionalFormatting sqref="H9:H16">
    <cfRule type="cellIs" dxfId="1157" priority="469" operator="equal">
      <formula>"0"</formula>
    </cfRule>
  </conditionalFormatting>
  <conditionalFormatting sqref="I28">
    <cfRule type="cellIs" dxfId="1156" priority="466" operator="equal">
      <formula>3</formula>
    </cfRule>
    <cfRule type="cellIs" dxfId="1155" priority="467" operator="equal">
      <formula>2</formula>
    </cfRule>
    <cfRule type="cellIs" dxfId="1154" priority="468" operator="equal">
      <formula>1</formula>
    </cfRule>
  </conditionalFormatting>
  <conditionalFormatting sqref="I30">
    <cfRule type="cellIs" dxfId="1153" priority="463" operator="equal">
      <formula>3</formula>
    </cfRule>
    <cfRule type="cellIs" dxfId="1152" priority="464" operator="equal">
      <formula>2</formula>
    </cfRule>
    <cfRule type="cellIs" dxfId="1151" priority="465" operator="equal">
      <formula>1</formula>
    </cfRule>
  </conditionalFormatting>
  <conditionalFormatting sqref="I29">
    <cfRule type="cellIs" dxfId="1150" priority="460" operator="between">
      <formula>3.01</formula>
      <formula>4</formula>
    </cfRule>
    <cfRule type="cellIs" dxfId="1149" priority="461" operator="between">
      <formula>2.01</formula>
      <formula>3</formula>
    </cfRule>
    <cfRule type="cellIs" dxfId="1148" priority="462" operator="lessThanOrEqual">
      <formula>2</formula>
    </cfRule>
  </conditionalFormatting>
  <conditionalFormatting sqref="I29">
    <cfRule type="expression" dxfId="1147" priority="459">
      <formula>I29=""</formula>
    </cfRule>
  </conditionalFormatting>
  <conditionalFormatting sqref="I30">
    <cfRule type="expression" dxfId="1146" priority="458">
      <formula>I30=""</formula>
    </cfRule>
  </conditionalFormatting>
  <conditionalFormatting sqref="I28">
    <cfRule type="expression" dxfId="1145" priority="457">
      <formula>I28=""</formula>
    </cfRule>
  </conditionalFormatting>
  <conditionalFormatting sqref="I9:I16">
    <cfRule type="cellIs" dxfId="1144" priority="456" operator="equal">
      <formula>"0"</formula>
    </cfRule>
  </conditionalFormatting>
  <conditionalFormatting sqref="J28">
    <cfRule type="cellIs" dxfId="1143" priority="453" operator="equal">
      <formula>3</formula>
    </cfRule>
    <cfRule type="cellIs" dxfId="1142" priority="454" operator="equal">
      <formula>2</formula>
    </cfRule>
    <cfRule type="cellIs" dxfId="1141" priority="455" operator="equal">
      <formula>1</formula>
    </cfRule>
  </conditionalFormatting>
  <conditionalFormatting sqref="J30">
    <cfRule type="cellIs" dxfId="1140" priority="450" operator="equal">
      <formula>3</formula>
    </cfRule>
    <cfRule type="cellIs" dxfId="1139" priority="451" operator="equal">
      <formula>2</formula>
    </cfRule>
    <cfRule type="cellIs" dxfId="1138" priority="452" operator="equal">
      <formula>1</formula>
    </cfRule>
  </conditionalFormatting>
  <conditionalFormatting sqref="J29">
    <cfRule type="cellIs" dxfId="1137" priority="447" operator="between">
      <formula>3.01</formula>
      <formula>4</formula>
    </cfRule>
    <cfRule type="cellIs" dxfId="1136" priority="448" operator="between">
      <formula>2.01</formula>
      <formula>3</formula>
    </cfRule>
    <cfRule type="cellIs" dxfId="1135" priority="449" operator="lessThanOrEqual">
      <formula>2</formula>
    </cfRule>
  </conditionalFormatting>
  <conditionalFormatting sqref="J29">
    <cfRule type="expression" dxfId="1134" priority="446">
      <formula>J29=""</formula>
    </cfRule>
  </conditionalFormatting>
  <conditionalFormatting sqref="J30">
    <cfRule type="expression" dxfId="1133" priority="445">
      <formula>J30=""</formula>
    </cfRule>
  </conditionalFormatting>
  <conditionalFormatting sqref="J28">
    <cfRule type="expression" dxfId="1132" priority="444">
      <formula>J28=""</formula>
    </cfRule>
  </conditionalFormatting>
  <conditionalFormatting sqref="J9:J16">
    <cfRule type="cellIs" dxfId="1131" priority="443" operator="equal">
      <formula>"0"</formula>
    </cfRule>
  </conditionalFormatting>
  <conditionalFormatting sqref="K28">
    <cfRule type="cellIs" dxfId="1130" priority="440" operator="equal">
      <formula>3</formula>
    </cfRule>
    <cfRule type="cellIs" dxfId="1129" priority="441" operator="equal">
      <formula>2</formula>
    </cfRule>
    <cfRule type="cellIs" dxfId="1128" priority="442" operator="equal">
      <formula>1</formula>
    </cfRule>
  </conditionalFormatting>
  <conditionalFormatting sqref="K30">
    <cfRule type="cellIs" dxfId="1127" priority="437" operator="equal">
      <formula>3</formula>
    </cfRule>
    <cfRule type="cellIs" dxfId="1126" priority="438" operator="equal">
      <formula>2</formula>
    </cfRule>
    <cfRule type="cellIs" dxfId="1125" priority="439" operator="equal">
      <formula>1</formula>
    </cfRule>
  </conditionalFormatting>
  <conditionalFormatting sqref="K29">
    <cfRule type="cellIs" dxfId="1124" priority="434" operator="between">
      <formula>3.01</formula>
      <formula>4</formula>
    </cfRule>
    <cfRule type="cellIs" dxfId="1123" priority="435" operator="between">
      <formula>2.01</formula>
      <formula>3</formula>
    </cfRule>
    <cfRule type="cellIs" dxfId="1122" priority="436" operator="lessThanOrEqual">
      <formula>2</formula>
    </cfRule>
  </conditionalFormatting>
  <conditionalFormatting sqref="K29">
    <cfRule type="expression" dxfId="1121" priority="433">
      <formula>K29=""</formula>
    </cfRule>
  </conditionalFormatting>
  <conditionalFormatting sqref="K30">
    <cfRule type="expression" dxfId="1120" priority="432">
      <formula>K30=""</formula>
    </cfRule>
  </conditionalFormatting>
  <conditionalFormatting sqref="K28">
    <cfRule type="expression" dxfId="1119" priority="431">
      <formula>K28=""</formula>
    </cfRule>
  </conditionalFormatting>
  <conditionalFormatting sqref="K9:K16">
    <cfRule type="cellIs" dxfId="1118" priority="430" operator="equal">
      <formula>"0"</formula>
    </cfRule>
  </conditionalFormatting>
  <conditionalFormatting sqref="L28">
    <cfRule type="cellIs" dxfId="1117" priority="427" operator="equal">
      <formula>3</formula>
    </cfRule>
    <cfRule type="cellIs" dxfId="1116" priority="428" operator="equal">
      <formula>2</formula>
    </cfRule>
    <cfRule type="cellIs" dxfId="1115" priority="429" operator="equal">
      <formula>1</formula>
    </cfRule>
  </conditionalFormatting>
  <conditionalFormatting sqref="L30">
    <cfRule type="cellIs" dxfId="1114" priority="424" operator="equal">
      <formula>3</formula>
    </cfRule>
    <cfRule type="cellIs" dxfId="1113" priority="425" operator="equal">
      <formula>2</formula>
    </cfRule>
    <cfRule type="cellIs" dxfId="1112" priority="426" operator="equal">
      <formula>1</formula>
    </cfRule>
  </conditionalFormatting>
  <conditionalFormatting sqref="L29">
    <cfRule type="cellIs" dxfId="1111" priority="421" operator="between">
      <formula>3.01</formula>
      <formula>4</formula>
    </cfRule>
    <cfRule type="cellIs" dxfId="1110" priority="422" operator="between">
      <formula>2.01</formula>
      <formula>3</formula>
    </cfRule>
    <cfRule type="cellIs" dxfId="1109" priority="423" operator="lessThanOrEqual">
      <formula>2</formula>
    </cfRule>
  </conditionalFormatting>
  <conditionalFormatting sqref="L29">
    <cfRule type="expression" dxfId="1108" priority="420">
      <formula>L29=""</formula>
    </cfRule>
  </conditionalFormatting>
  <conditionalFormatting sqref="L30">
    <cfRule type="expression" dxfId="1107" priority="419">
      <formula>L30=""</formula>
    </cfRule>
  </conditionalFormatting>
  <conditionalFormatting sqref="L28">
    <cfRule type="expression" dxfId="1106" priority="418">
      <formula>L28=""</formula>
    </cfRule>
  </conditionalFormatting>
  <conditionalFormatting sqref="L9:L16">
    <cfRule type="cellIs" dxfId="1105" priority="417" operator="equal">
      <formula>"0"</formula>
    </cfRule>
  </conditionalFormatting>
  <conditionalFormatting sqref="M28">
    <cfRule type="cellIs" dxfId="1104" priority="414" operator="equal">
      <formula>3</formula>
    </cfRule>
    <cfRule type="cellIs" dxfId="1103" priority="415" operator="equal">
      <formula>2</formula>
    </cfRule>
    <cfRule type="cellIs" dxfId="1102" priority="416" operator="equal">
      <formula>1</formula>
    </cfRule>
  </conditionalFormatting>
  <conditionalFormatting sqref="M30">
    <cfRule type="cellIs" dxfId="1101" priority="411" operator="equal">
      <formula>3</formula>
    </cfRule>
    <cfRule type="cellIs" dxfId="1100" priority="412" operator="equal">
      <formula>2</formula>
    </cfRule>
    <cfRule type="cellIs" dxfId="1099" priority="413" operator="equal">
      <formula>1</formula>
    </cfRule>
  </conditionalFormatting>
  <conditionalFormatting sqref="M29">
    <cfRule type="cellIs" dxfId="1098" priority="408" operator="between">
      <formula>3.01</formula>
      <formula>4</formula>
    </cfRule>
    <cfRule type="cellIs" dxfId="1097" priority="409" operator="between">
      <formula>2.01</formula>
      <formula>3</formula>
    </cfRule>
    <cfRule type="cellIs" dxfId="1096" priority="410" operator="lessThanOrEqual">
      <formula>2</formula>
    </cfRule>
  </conditionalFormatting>
  <conditionalFormatting sqref="M29">
    <cfRule type="expression" dxfId="1095" priority="407">
      <formula>M29=""</formula>
    </cfRule>
  </conditionalFormatting>
  <conditionalFormatting sqref="M30">
    <cfRule type="expression" dxfId="1094" priority="406">
      <formula>M30=""</formula>
    </cfRule>
  </conditionalFormatting>
  <conditionalFormatting sqref="M28">
    <cfRule type="expression" dxfId="1093" priority="405">
      <formula>M28=""</formula>
    </cfRule>
  </conditionalFormatting>
  <conditionalFormatting sqref="M9:M16">
    <cfRule type="cellIs" dxfId="1092" priority="404" operator="equal">
      <formula>"0"</formula>
    </cfRule>
  </conditionalFormatting>
  <conditionalFormatting sqref="N28">
    <cfRule type="cellIs" dxfId="1091" priority="401" operator="equal">
      <formula>3</formula>
    </cfRule>
    <cfRule type="cellIs" dxfId="1090" priority="402" operator="equal">
      <formula>2</formula>
    </cfRule>
    <cfRule type="cellIs" dxfId="1089" priority="403" operator="equal">
      <formula>1</formula>
    </cfRule>
  </conditionalFormatting>
  <conditionalFormatting sqref="N30">
    <cfRule type="cellIs" dxfId="1088" priority="398" operator="equal">
      <formula>3</formula>
    </cfRule>
    <cfRule type="cellIs" dxfId="1087" priority="399" operator="equal">
      <formula>2</formula>
    </cfRule>
    <cfRule type="cellIs" dxfId="1086" priority="400" operator="equal">
      <formula>1</formula>
    </cfRule>
  </conditionalFormatting>
  <conditionalFormatting sqref="N29">
    <cfRule type="cellIs" dxfId="1085" priority="395" operator="between">
      <formula>3.01</formula>
      <formula>4</formula>
    </cfRule>
    <cfRule type="cellIs" dxfId="1084" priority="396" operator="between">
      <formula>2.01</formula>
      <formula>3</formula>
    </cfRule>
    <cfRule type="cellIs" dxfId="1083" priority="397" operator="lessThanOrEqual">
      <formula>2</formula>
    </cfRule>
  </conditionalFormatting>
  <conditionalFormatting sqref="N29">
    <cfRule type="expression" dxfId="1082" priority="394">
      <formula>N29=""</formula>
    </cfRule>
  </conditionalFormatting>
  <conditionalFormatting sqref="N30">
    <cfRule type="expression" dxfId="1081" priority="393">
      <formula>N30=""</formula>
    </cfRule>
  </conditionalFormatting>
  <conditionalFormatting sqref="N28">
    <cfRule type="expression" dxfId="1080" priority="392">
      <formula>N28=""</formula>
    </cfRule>
  </conditionalFormatting>
  <conditionalFormatting sqref="N9:N16">
    <cfRule type="cellIs" dxfId="1079" priority="391" operator="equal">
      <formula>"0"</formula>
    </cfRule>
  </conditionalFormatting>
  <conditionalFormatting sqref="O28">
    <cfRule type="cellIs" dxfId="1078" priority="388" operator="equal">
      <formula>3</formula>
    </cfRule>
    <cfRule type="cellIs" dxfId="1077" priority="389" operator="equal">
      <formula>2</formula>
    </cfRule>
    <cfRule type="cellIs" dxfId="1076" priority="390" operator="equal">
      <formula>1</formula>
    </cfRule>
  </conditionalFormatting>
  <conditionalFormatting sqref="O30">
    <cfRule type="cellIs" dxfId="1075" priority="385" operator="equal">
      <formula>3</formula>
    </cfRule>
    <cfRule type="cellIs" dxfId="1074" priority="386" operator="equal">
      <formula>2</formula>
    </cfRule>
    <cfRule type="cellIs" dxfId="1073" priority="387" operator="equal">
      <formula>1</formula>
    </cfRule>
  </conditionalFormatting>
  <conditionalFormatting sqref="O29">
    <cfRule type="cellIs" dxfId="1072" priority="382" operator="between">
      <formula>3.01</formula>
      <formula>4</formula>
    </cfRule>
    <cfRule type="cellIs" dxfId="1071" priority="383" operator="between">
      <formula>2.01</formula>
      <formula>3</formula>
    </cfRule>
    <cfRule type="cellIs" dxfId="1070" priority="384" operator="lessThanOrEqual">
      <formula>2</formula>
    </cfRule>
  </conditionalFormatting>
  <conditionalFormatting sqref="O29">
    <cfRule type="expression" dxfId="1069" priority="381">
      <formula>O29=""</formula>
    </cfRule>
  </conditionalFormatting>
  <conditionalFormatting sqref="O30">
    <cfRule type="expression" dxfId="1068" priority="380">
      <formula>O30=""</formula>
    </cfRule>
  </conditionalFormatting>
  <conditionalFormatting sqref="O28">
    <cfRule type="expression" dxfId="1067" priority="379">
      <formula>O28=""</formula>
    </cfRule>
  </conditionalFormatting>
  <conditionalFormatting sqref="O9:O16">
    <cfRule type="cellIs" dxfId="1066" priority="378" operator="equal">
      <formula>"0"</formula>
    </cfRule>
  </conditionalFormatting>
  <conditionalFormatting sqref="P28">
    <cfRule type="cellIs" dxfId="1065" priority="375" operator="equal">
      <formula>3</formula>
    </cfRule>
    <cfRule type="cellIs" dxfId="1064" priority="376" operator="equal">
      <formula>2</formula>
    </cfRule>
    <cfRule type="cellIs" dxfId="1063" priority="377" operator="equal">
      <formula>1</formula>
    </cfRule>
  </conditionalFormatting>
  <conditionalFormatting sqref="P30">
    <cfRule type="cellIs" dxfId="1062" priority="372" operator="equal">
      <formula>3</formula>
    </cfRule>
    <cfRule type="cellIs" dxfId="1061" priority="373" operator="equal">
      <formula>2</formula>
    </cfRule>
    <cfRule type="cellIs" dxfId="1060" priority="374" operator="equal">
      <formula>1</formula>
    </cfRule>
  </conditionalFormatting>
  <conditionalFormatting sqref="P29">
    <cfRule type="cellIs" dxfId="1059" priority="369" operator="between">
      <formula>3.01</formula>
      <formula>4</formula>
    </cfRule>
    <cfRule type="cellIs" dxfId="1058" priority="370" operator="between">
      <formula>2.01</formula>
      <formula>3</formula>
    </cfRule>
    <cfRule type="cellIs" dxfId="1057" priority="371" operator="lessThanOrEqual">
      <formula>2</formula>
    </cfRule>
  </conditionalFormatting>
  <conditionalFormatting sqref="P29">
    <cfRule type="expression" dxfId="1056" priority="368">
      <formula>P29=""</formula>
    </cfRule>
  </conditionalFormatting>
  <conditionalFormatting sqref="P30">
    <cfRule type="expression" dxfId="1055" priority="367">
      <formula>P30=""</formula>
    </cfRule>
  </conditionalFormatting>
  <conditionalFormatting sqref="P28">
    <cfRule type="expression" dxfId="1054" priority="366">
      <formula>P28=""</formula>
    </cfRule>
  </conditionalFormatting>
  <conditionalFormatting sqref="P9:P16">
    <cfRule type="cellIs" dxfId="1053" priority="365" operator="equal">
      <formula>"0"</formula>
    </cfRule>
  </conditionalFormatting>
  <conditionalFormatting sqref="Q28">
    <cfRule type="cellIs" dxfId="1052" priority="362" operator="equal">
      <formula>3</formula>
    </cfRule>
    <cfRule type="cellIs" dxfId="1051" priority="363" operator="equal">
      <formula>2</formula>
    </cfRule>
    <cfRule type="cellIs" dxfId="1050" priority="364" operator="equal">
      <formula>1</formula>
    </cfRule>
  </conditionalFormatting>
  <conditionalFormatting sqref="Q30">
    <cfRule type="cellIs" dxfId="1049" priority="359" operator="equal">
      <formula>3</formula>
    </cfRule>
    <cfRule type="cellIs" dxfId="1048" priority="360" operator="equal">
      <formula>2</formula>
    </cfRule>
    <cfRule type="cellIs" dxfId="1047" priority="361" operator="equal">
      <formula>1</formula>
    </cfRule>
  </conditionalFormatting>
  <conditionalFormatting sqref="Q29">
    <cfRule type="cellIs" dxfId="1046" priority="356" operator="between">
      <formula>3.01</formula>
      <formula>4</formula>
    </cfRule>
    <cfRule type="cellIs" dxfId="1045" priority="357" operator="between">
      <formula>2.01</formula>
      <formula>3</formula>
    </cfRule>
    <cfRule type="cellIs" dxfId="1044" priority="358" operator="lessThanOrEqual">
      <formula>2</formula>
    </cfRule>
  </conditionalFormatting>
  <conditionalFormatting sqref="Q29">
    <cfRule type="expression" dxfId="1043" priority="355">
      <formula>Q29=""</formula>
    </cfRule>
  </conditionalFormatting>
  <conditionalFormatting sqref="Q30">
    <cfRule type="expression" dxfId="1042" priority="354">
      <formula>Q30=""</formula>
    </cfRule>
  </conditionalFormatting>
  <conditionalFormatting sqref="Q28">
    <cfRule type="expression" dxfId="1041" priority="353">
      <formula>Q28=""</formula>
    </cfRule>
  </conditionalFormatting>
  <conditionalFormatting sqref="Q9:Q16">
    <cfRule type="cellIs" dxfId="1040" priority="352" operator="equal">
      <formula>"0"</formula>
    </cfRule>
  </conditionalFormatting>
  <conditionalFormatting sqref="R28">
    <cfRule type="cellIs" dxfId="1039" priority="349" operator="equal">
      <formula>3</formula>
    </cfRule>
    <cfRule type="cellIs" dxfId="1038" priority="350" operator="equal">
      <formula>2</formula>
    </cfRule>
    <cfRule type="cellIs" dxfId="1037" priority="351" operator="equal">
      <formula>1</formula>
    </cfRule>
  </conditionalFormatting>
  <conditionalFormatting sqref="R30">
    <cfRule type="cellIs" dxfId="1036" priority="346" operator="equal">
      <formula>3</formula>
    </cfRule>
    <cfRule type="cellIs" dxfId="1035" priority="347" operator="equal">
      <formula>2</formula>
    </cfRule>
    <cfRule type="cellIs" dxfId="1034" priority="348" operator="equal">
      <formula>1</formula>
    </cfRule>
  </conditionalFormatting>
  <conditionalFormatting sqref="R29">
    <cfRule type="cellIs" dxfId="1033" priority="343" operator="between">
      <formula>3.01</formula>
      <formula>4</formula>
    </cfRule>
    <cfRule type="cellIs" dxfId="1032" priority="344" operator="between">
      <formula>2.01</formula>
      <formula>3</formula>
    </cfRule>
    <cfRule type="cellIs" dxfId="1031" priority="345" operator="lessThanOrEqual">
      <formula>2</formula>
    </cfRule>
  </conditionalFormatting>
  <conditionalFormatting sqref="R29">
    <cfRule type="expression" dxfId="1030" priority="342">
      <formula>R29=""</formula>
    </cfRule>
  </conditionalFormatting>
  <conditionalFormatting sqref="R30">
    <cfRule type="expression" dxfId="1029" priority="341">
      <formula>R30=""</formula>
    </cfRule>
  </conditionalFormatting>
  <conditionalFormatting sqref="R28">
    <cfRule type="expression" dxfId="1028" priority="340">
      <formula>R28=""</formula>
    </cfRule>
  </conditionalFormatting>
  <conditionalFormatting sqref="R9:R16">
    <cfRule type="cellIs" dxfId="1027" priority="339" operator="equal">
      <formula>"0"</formula>
    </cfRule>
  </conditionalFormatting>
  <conditionalFormatting sqref="S28">
    <cfRule type="cellIs" dxfId="1026" priority="336" operator="equal">
      <formula>3</formula>
    </cfRule>
    <cfRule type="cellIs" dxfId="1025" priority="337" operator="equal">
      <formula>2</formula>
    </cfRule>
    <cfRule type="cellIs" dxfId="1024" priority="338" operator="equal">
      <formula>1</formula>
    </cfRule>
  </conditionalFormatting>
  <conditionalFormatting sqref="S30">
    <cfRule type="cellIs" dxfId="1023" priority="333" operator="equal">
      <formula>3</formula>
    </cfRule>
    <cfRule type="cellIs" dxfId="1022" priority="334" operator="equal">
      <formula>2</formula>
    </cfRule>
    <cfRule type="cellIs" dxfId="1021" priority="335" operator="equal">
      <formula>1</formula>
    </cfRule>
  </conditionalFormatting>
  <conditionalFormatting sqref="S29">
    <cfRule type="cellIs" dxfId="1020" priority="330" operator="between">
      <formula>3.01</formula>
      <formula>4</formula>
    </cfRule>
    <cfRule type="cellIs" dxfId="1019" priority="331" operator="between">
      <formula>2.01</formula>
      <formula>3</formula>
    </cfRule>
    <cfRule type="cellIs" dxfId="1018" priority="332" operator="lessThanOrEqual">
      <formula>2</formula>
    </cfRule>
  </conditionalFormatting>
  <conditionalFormatting sqref="S29">
    <cfRule type="expression" dxfId="1017" priority="329">
      <formula>S29=""</formula>
    </cfRule>
  </conditionalFormatting>
  <conditionalFormatting sqref="S30">
    <cfRule type="expression" dxfId="1016" priority="328">
      <formula>S30=""</formula>
    </cfRule>
  </conditionalFormatting>
  <conditionalFormatting sqref="S28">
    <cfRule type="expression" dxfId="1015" priority="327">
      <formula>S28=""</formula>
    </cfRule>
  </conditionalFormatting>
  <conditionalFormatting sqref="S9:S16">
    <cfRule type="cellIs" dxfId="1014" priority="326" operator="equal">
      <formula>"0"</formula>
    </cfRule>
  </conditionalFormatting>
  <conditionalFormatting sqref="T28">
    <cfRule type="cellIs" dxfId="831" priority="323" operator="equal">
      <formula>3</formula>
    </cfRule>
    <cfRule type="cellIs" dxfId="830" priority="324" operator="equal">
      <formula>2</formula>
    </cfRule>
    <cfRule type="cellIs" dxfId="829" priority="325" operator="equal">
      <formula>1</formula>
    </cfRule>
  </conditionalFormatting>
  <conditionalFormatting sqref="T30">
    <cfRule type="cellIs" dxfId="828" priority="320" operator="equal">
      <formula>3</formula>
    </cfRule>
    <cfRule type="cellIs" dxfId="827" priority="321" operator="equal">
      <formula>2</formula>
    </cfRule>
    <cfRule type="cellIs" dxfId="826" priority="322" operator="equal">
      <formula>1</formula>
    </cfRule>
  </conditionalFormatting>
  <conditionalFormatting sqref="T29">
    <cfRule type="cellIs" dxfId="825" priority="317" operator="between">
      <formula>3.01</formula>
      <formula>4</formula>
    </cfRule>
    <cfRule type="cellIs" dxfId="824" priority="318" operator="between">
      <formula>2.01</formula>
      <formula>3</formula>
    </cfRule>
    <cfRule type="cellIs" dxfId="823" priority="319" operator="lessThanOrEqual">
      <formula>2</formula>
    </cfRule>
  </conditionalFormatting>
  <conditionalFormatting sqref="T29">
    <cfRule type="expression" dxfId="822" priority="316">
      <formula>T29=""</formula>
    </cfRule>
  </conditionalFormatting>
  <conditionalFormatting sqref="T30">
    <cfRule type="expression" dxfId="821" priority="315">
      <formula>T30=""</formula>
    </cfRule>
  </conditionalFormatting>
  <conditionalFormatting sqref="T28">
    <cfRule type="expression" dxfId="820" priority="314">
      <formula>T28=""</formula>
    </cfRule>
  </conditionalFormatting>
  <conditionalFormatting sqref="T9:T16">
    <cfRule type="cellIs" dxfId="819" priority="313" operator="equal">
      <formula>"0"</formula>
    </cfRule>
  </conditionalFormatting>
  <conditionalFormatting sqref="U28">
    <cfRule type="cellIs" dxfId="818" priority="310" operator="equal">
      <formula>3</formula>
    </cfRule>
    <cfRule type="cellIs" dxfId="817" priority="311" operator="equal">
      <formula>2</formula>
    </cfRule>
    <cfRule type="cellIs" dxfId="816" priority="312" operator="equal">
      <formula>1</formula>
    </cfRule>
  </conditionalFormatting>
  <conditionalFormatting sqref="U30">
    <cfRule type="cellIs" dxfId="815" priority="307" operator="equal">
      <formula>3</formula>
    </cfRule>
    <cfRule type="cellIs" dxfId="814" priority="308" operator="equal">
      <formula>2</formula>
    </cfRule>
    <cfRule type="cellIs" dxfId="813" priority="309" operator="equal">
      <formula>1</formula>
    </cfRule>
  </conditionalFormatting>
  <conditionalFormatting sqref="U29">
    <cfRule type="cellIs" dxfId="812" priority="304" operator="between">
      <formula>3.01</formula>
      <formula>4</formula>
    </cfRule>
    <cfRule type="cellIs" dxfId="811" priority="305" operator="between">
      <formula>2.01</formula>
      <formula>3</formula>
    </cfRule>
    <cfRule type="cellIs" dxfId="810" priority="306" operator="lessThanOrEqual">
      <formula>2</formula>
    </cfRule>
  </conditionalFormatting>
  <conditionalFormatting sqref="U29">
    <cfRule type="expression" dxfId="809" priority="303">
      <formula>U29=""</formula>
    </cfRule>
  </conditionalFormatting>
  <conditionalFormatting sqref="U30">
    <cfRule type="expression" dxfId="808" priority="302">
      <formula>U30=""</formula>
    </cfRule>
  </conditionalFormatting>
  <conditionalFormatting sqref="U28">
    <cfRule type="expression" dxfId="807" priority="301">
      <formula>U28=""</formula>
    </cfRule>
  </conditionalFormatting>
  <conditionalFormatting sqref="U9:U16">
    <cfRule type="cellIs" dxfId="806" priority="300" operator="equal">
      <formula>"0"</formula>
    </cfRule>
  </conditionalFormatting>
  <conditionalFormatting sqref="V28">
    <cfRule type="cellIs" dxfId="805" priority="297" operator="equal">
      <formula>3</formula>
    </cfRule>
    <cfRule type="cellIs" dxfId="804" priority="298" operator="equal">
      <formula>2</formula>
    </cfRule>
    <cfRule type="cellIs" dxfId="803" priority="299" operator="equal">
      <formula>1</formula>
    </cfRule>
  </conditionalFormatting>
  <conditionalFormatting sqref="V30">
    <cfRule type="cellIs" dxfId="802" priority="294" operator="equal">
      <formula>3</formula>
    </cfRule>
    <cfRule type="cellIs" dxfId="801" priority="295" operator="equal">
      <formula>2</formula>
    </cfRule>
    <cfRule type="cellIs" dxfId="800" priority="296" operator="equal">
      <formula>1</formula>
    </cfRule>
  </conditionalFormatting>
  <conditionalFormatting sqref="V29">
    <cfRule type="cellIs" dxfId="799" priority="291" operator="between">
      <formula>3.01</formula>
      <formula>4</formula>
    </cfRule>
    <cfRule type="cellIs" dxfId="798" priority="292" operator="between">
      <formula>2.01</formula>
      <formula>3</formula>
    </cfRule>
    <cfRule type="cellIs" dxfId="797" priority="293" operator="lessThanOrEqual">
      <formula>2</formula>
    </cfRule>
  </conditionalFormatting>
  <conditionalFormatting sqref="V29">
    <cfRule type="expression" dxfId="796" priority="290">
      <formula>V29=""</formula>
    </cfRule>
  </conditionalFormatting>
  <conditionalFormatting sqref="V30">
    <cfRule type="expression" dxfId="795" priority="289">
      <formula>V30=""</formula>
    </cfRule>
  </conditionalFormatting>
  <conditionalFormatting sqref="V28">
    <cfRule type="expression" dxfId="794" priority="288">
      <formula>V28=""</formula>
    </cfRule>
  </conditionalFormatting>
  <conditionalFormatting sqref="V9:V16">
    <cfRule type="cellIs" dxfId="793" priority="287" operator="equal">
      <formula>"0"</formula>
    </cfRule>
  </conditionalFormatting>
  <conditionalFormatting sqref="W28">
    <cfRule type="cellIs" dxfId="792" priority="284" operator="equal">
      <formula>3</formula>
    </cfRule>
    <cfRule type="cellIs" dxfId="791" priority="285" operator="equal">
      <formula>2</formula>
    </cfRule>
    <cfRule type="cellIs" dxfId="790" priority="286" operator="equal">
      <formula>1</formula>
    </cfRule>
  </conditionalFormatting>
  <conditionalFormatting sqref="W30">
    <cfRule type="cellIs" dxfId="789" priority="281" operator="equal">
      <formula>3</formula>
    </cfRule>
    <cfRule type="cellIs" dxfId="788" priority="282" operator="equal">
      <formula>2</formula>
    </cfRule>
    <cfRule type="cellIs" dxfId="787" priority="283" operator="equal">
      <formula>1</formula>
    </cfRule>
  </conditionalFormatting>
  <conditionalFormatting sqref="W29">
    <cfRule type="cellIs" dxfId="786" priority="278" operator="between">
      <formula>3.01</formula>
      <formula>4</formula>
    </cfRule>
    <cfRule type="cellIs" dxfId="785" priority="279" operator="between">
      <formula>2.01</formula>
      <formula>3</formula>
    </cfRule>
    <cfRule type="cellIs" dxfId="784" priority="280" operator="lessThanOrEqual">
      <formula>2</formula>
    </cfRule>
  </conditionalFormatting>
  <conditionalFormatting sqref="W29">
    <cfRule type="expression" dxfId="783" priority="277">
      <formula>W29=""</formula>
    </cfRule>
  </conditionalFormatting>
  <conditionalFormatting sqref="W30">
    <cfRule type="expression" dxfId="782" priority="276">
      <formula>W30=""</formula>
    </cfRule>
  </conditionalFormatting>
  <conditionalFormatting sqref="W28">
    <cfRule type="expression" dxfId="781" priority="275">
      <formula>W28=""</formula>
    </cfRule>
  </conditionalFormatting>
  <conditionalFormatting sqref="W9:W16">
    <cfRule type="cellIs" dxfId="780" priority="274" operator="equal">
      <formula>"0"</formula>
    </cfRule>
  </conditionalFormatting>
  <conditionalFormatting sqref="X28">
    <cfRule type="cellIs" dxfId="779" priority="271" operator="equal">
      <formula>3</formula>
    </cfRule>
    <cfRule type="cellIs" dxfId="778" priority="272" operator="equal">
      <formula>2</formula>
    </cfRule>
    <cfRule type="cellIs" dxfId="777" priority="273" operator="equal">
      <formula>1</formula>
    </cfRule>
  </conditionalFormatting>
  <conditionalFormatting sqref="X30">
    <cfRule type="cellIs" dxfId="776" priority="268" operator="equal">
      <formula>3</formula>
    </cfRule>
    <cfRule type="cellIs" dxfId="775" priority="269" operator="equal">
      <formula>2</formula>
    </cfRule>
    <cfRule type="cellIs" dxfId="774" priority="270" operator="equal">
      <formula>1</formula>
    </cfRule>
  </conditionalFormatting>
  <conditionalFormatting sqref="X29">
    <cfRule type="cellIs" dxfId="773" priority="265" operator="between">
      <formula>3.01</formula>
      <formula>4</formula>
    </cfRule>
    <cfRule type="cellIs" dxfId="772" priority="266" operator="between">
      <formula>2.01</formula>
      <formula>3</formula>
    </cfRule>
    <cfRule type="cellIs" dxfId="771" priority="267" operator="lessThanOrEqual">
      <formula>2</formula>
    </cfRule>
  </conditionalFormatting>
  <conditionalFormatting sqref="X29">
    <cfRule type="expression" dxfId="770" priority="264">
      <formula>X29=""</formula>
    </cfRule>
  </conditionalFormatting>
  <conditionalFormatting sqref="X30">
    <cfRule type="expression" dxfId="769" priority="263">
      <formula>X30=""</formula>
    </cfRule>
  </conditionalFormatting>
  <conditionalFormatting sqref="X28">
    <cfRule type="expression" dxfId="768" priority="262">
      <formula>X28=""</formula>
    </cfRule>
  </conditionalFormatting>
  <conditionalFormatting sqref="X9:X16">
    <cfRule type="cellIs" dxfId="767" priority="261" operator="equal">
      <formula>"0"</formula>
    </cfRule>
  </conditionalFormatting>
  <conditionalFormatting sqref="Y28">
    <cfRule type="cellIs" dxfId="766" priority="258" operator="equal">
      <formula>3</formula>
    </cfRule>
    <cfRule type="cellIs" dxfId="765" priority="259" operator="equal">
      <formula>2</formula>
    </cfRule>
    <cfRule type="cellIs" dxfId="764" priority="260" operator="equal">
      <formula>1</formula>
    </cfRule>
  </conditionalFormatting>
  <conditionalFormatting sqref="Y30">
    <cfRule type="cellIs" dxfId="763" priority="255" operator="equal">
      <formula>3</formula>
    </cfRule>
    <cfRule type="cellIs" dxfId="762" priority="256" operator="equal">
      <formula>2</formula>
    </cfRule>
    <cfRule type="cellIs" dxfId="761" priority="257" operator="equal">
      <formula>1</formula>
    </cfRule>
  </conditionalFormatting>
  <conditionalFormatting sqref="Y29">
    <cfRule type="cellIs" dxfId="760" priority="252" operator="between">
      <formula>3.01</formula>
      <formula>4</formula>
    </cfRule>
    <cfRule type="cellIs" dxfId="759" priority="253" operator="between">
      <formula>2.01</formula>
      <formula>3</formula>
    </cfRule>
    <cfRule type="cellIs" dxfId="758" priority="254" operator="lessThanOrEqual">
      <formula>2</formula>
    </cfRule>
  </conditionalFormatting>
  <conditionalFormatting sqref="Y29">
    <cfRule type="expression" dxfId="757" priority="251">
      <formula>Y29=""</formula>
    </cfRule>
  </conditionalFormatting>
  <conditionalFormatting sqref="Y30">
    <cfRule type="expression" dxfId="756" priority="250">
      <formula>Y30=""</formula>
    </cfRule>
  </conditionalFormatting>
  <conditionalFormatting sqref="Y28">
    <cfRule type="expression" dxfId="755" priority="249">
      <formula>Y28=""</formula>
    </cfRule>
  </conditionalFormatting>
  <conditionalFormatting sqref="Y9:Y16">
    <cfRule type="cellIs" dxfId="754" priority="248" operator="equal">
      <formula>"0"</formula>
    </cfRule>
  </conditionalFormatting>
  <conditionalFormatting sqref="Z28">
    <cfRule type="cellIs" dxfId="753" priority="245" operator="equal">
      <formula>3</formula>
    </cfRule>
    <cfRule type="cellIs" dxfId="752" priority="246" operator="equal">
      <formula>2</formula>
    </cfRule>
    <cfRule type="cellIs" dxfId="751" priority="247" operator="equal">
      <formula>1</formula>
    </cfRule>
  </conditionalFormatting>
  <conditionalFormatting sqref="Z30">
    <cfRule type="cellIs" dxfId="750" priority="242" operator="equal">
      <formula>3</formula>
    </cfRule>
    <cfRule type="cellIs" dxfId="749" priority="243" operator="equal">
      <formula>2</formula>
    </cfRule>
    <cfRule type="cellIs" dxfId="748" priority="244" operator="equal">
      <formula>1</formula>
    </cfRule>
  </conditionalFormatting>
  <conditionalFormatting sqref="Z29">
    <cfRule type="cellIs" dxfId="747" priority="239" operator="between">
      <formula>3.01</formula>
      <formula>4</formula>
    </cfRule>
    <cfRule type="cellIs" dxfId="746" priority="240" operator="between">
      <formula>2.01</formula>
      <formula>3</formula>
    </cfRule>
    <cfRule type="cellIs" dxfId="745" priority="241" operator="lessThanOrEqual">
      <formula>2</formula>
    </cfRule>
  </conditionalFormatting>
  <conditionalFormatting sqref="Z29">
    <cfRule type="expression" dxfId="744" priority="238">
      <formula>Z29=""</formula>
    </cfRule>
  </conditionalFormatting>
  <conditionalFormatting sqref="Z30">
    <cfRule type="expression" dxfId="743" priority="237">
      <formula>Z30=""</formula>
    </cfRule>
  </conditionalFormatting>
  <conditionalFormatting sqref="Z28">
    <cfRule type="expression" dxfId="742" priority="236">
      <formula>Z28=""</formula>
    </cfRule>
  </conditionalFormatting>
  <conditionalFormatting sqref="Z9:Z16">
    <cfRule type="cellIs" dxfId="741" priority="235" operator="equal">
      <formula>"0"</formula>
    </cfRule>
  </conditionalFormatting>
  <conditionalFormatting sqref="AA28">
    <cfRule type="cellIs" dxfId="740" priority="232" operator="equal">
      <formula>3</formula>
    </cfRule>
    <cfRule type="cellIs" dxfId="739" priority="233" operator="equal">
      <formula>2</formula>
    </cfRule>
    <cfRule type="cellIs" dxfId="738" priority="234" operator="equal">
      <formula>1</formula>
    </cfRule>
  </conditionalFormatting>
  <conditionalFormatting sqref="AA30">
    <cfRule type="cellIs" dxfId="737" priority="229" operator="equal">
      <formula>3</formula>
    </cfRule>
    <cfRule type="cellIs" dxfId="736" priority="230" operator="equal">
      <formula>2</formula>
    </cfRule>
    <cfRule type="cellIs" dxfId="735" priority="231" operator="equal">
      <formula>1</formula>
    </cfRule>
  </conditionalFormatting>
  <conditionalFormatting sqref="AA29">
    <cfRule type="cellIs" dxfId="734" priority="226" operator="between">
      <formula>3.01</formula>
      <formula>4</formula>
    </cfRule>
    <cfRule type="cellIs" dxfId="733" priority="227" operator="between">
      <formula>2.01</formula>
      <formula>3</formula>
    </cfRule>
    <cfRule type="cellIs" dxfId="732" priority="228" operator="lessThanOrEqual">
      <formula>2</formula>
    </cfRule>
  </conditionalFormatting>
  <conditionalFormatting sqref="AA29">
    <cfRule type="expression" dxfId="731" priority="225">
      <formula>AA29=""</formula>
    </cfRule>
  </conditionalFormatting>
  <conditionalFormatting sqref="AA30">
    <cfRule type="expression" dxfId="730" priority="224">
      <formula>AA30=""</formula>
    </cfRule>
  </conditionalFormatting>
  <conditionalFormatting sqref="AA28">
    <cfRule type="expression" dxfId="729" priority="223">
      <formula>AA28=""</formula>
    </cfRule>
  </conditionalFormatting>
  <conditionalFormatting sqref="AA9:AA16">
    <cfRule type="cellIs" dxfId="728" priority="222" operator="equal">
      <formula>"0"</formula>
    </cfRule>
  </conditionalFormatting>
  <conditionalFormatting sqref="AB28">
    <cfRule type="cellIs" dxfId="727" priority="219" operator="equal">
      <formula>3</formula>
    </cfRule>
    <cfRule type="cellIs" dxfId="726" priority="220" operator="equal">
      <formula>2</formula>
    </cfRule>
    <cfRule type="cellIs" dxfId="725" priority="221" operator="equal">
      <formula>1</formula>
    </cfRule>
  </conditionalFormatting>
  <conditionalFormatting sqref="AB30">
    <cfRule type="cellIs" dxfId="724" priority="216" operator="equal">
      <formula>3</formula>
    </cfRule>
    <cfRule type="cellIs" dxfId="723" priority="217" operator="equal">
      <formula>2</formula>
    </cfRule>
    <cfRule type="cellIs" dxfId="722" priority="218" operator="equal">
      <formula>1</formula>
    </cfRule>
  </conditionalFormatting>
  <conditionalFormatting sqref="AB29">
    <cfRule type="cellIs" dxfId="721" priority="213" operator="between">
      <formula>3.01</formula>
      <formula>4</formula>
    </cfRule>
    <cfRule type="cellIs" dxfId="720" priority="214" operator="between">
      <formula>2.01</formula>
      <formula>3</formula>
    </cfRule>
    <cfRule type="cellIs" dxfId="719" priority="215" operator="lessThanOrEqual">
      <formula>2</formula>
    </cfRule>
  </conditionalFormatting>
  <conditionalFormatting sqref="AB29">
    <cfRule type="expression" dxfId="718" priority="212">
      <formula>AB29=""</formula>
    </cfRule>
  </conditionalFormatting>
  <conditionalFormatting sqref="AB30">
    <cfRule type="expression" dxfId="717" priority="211">
      <formula>AB30=""</formula>
    </cfRule>
  </conditionalFormatting>
  <conditionalFormatting sqref="AB28">
    <cfRule type="expression" dxfId="716" priority="210">
      <formula>AB28=""</formula>
    </cfRule>
  </conditionalFormatting>
  <conditionalFormatting sqref="AB9:AB16">
    <cfRule type="cellIs" dxfId="715" priority="209" operator="equal">
      <formula>"0"</formula>
    </cfRule>
  </conditionalFormatting>
  <conditionalFormatting sqref="AC28">
    <cfRule type="cellIs" dxfId="714" priority="206" operator="equal">
      <formula>3</formula>
    </cfRule>
    <cfRule type="cellIs" dxfId="713" priority="207" operator="equal">
      <formula>2</formula>
    </cfRule>
    <cfRule type="cellIs" dxfId="712" priority="208" operator="equal">
      <formula>1</formula>
    </cfRule>
  </conditionalFormatting>
  <conditionalFormatting sqref="AC30">
    <cfRule type="cellIs" dxfId="711" priority="203" operator="equal">
      <formula>3</formula>
    </cfRule>
    <cfRule type="cellIs" dxfId="710" priority="204" operator="equal">
      <formula>2</formula>
    </cfRule>
    <cfRule type="cellIs" dxfId="709" priority="205" operator="equal">
      <formula>1</formula>
    </cfRule>
  </conditionalFormatting>
  <conditionalFormatting sqref="AC29">
    <cfRule type="cellIs" dxfId="708" priority="200" operator="between">
      <formula>3.01</formula>
      <formula>4</formula>
    </cfRule>
    <cfRule type="cellIs" dxfId="707" priority="201" operator="between">
      <formula>2.01</formula>
      <formula>3</formula>
    </cfRule>
    <cfRule type="cellIs" dxfId="706" priority="202" operator="lessThanOrEqual">
      <formula>2</formula>
    </cfRule>
  </conditionalFormatting>
  <conditionalFormatting sqref="AC29">
    <cfRule type="expression" dxfId="705" priority="199">
      <formula>AC29=""</formula>
    </cfRule>
  </conditionalFormatting>
  <conditionalFormatting sqref="AC30">
    <cfRule type="expression" dxfId="704" priority="198">
      <formula>AC30=""</formula>
    </cfRule>
  </conditionalFormatting>
  <conditionalFormatting sqref="AC28">
    <cfRule type="expression" dxfId="703" priority="197">
      <formula>AC28=""</formula>
    </cfRule>
  </conditionalFormatting>
  <conditionalFormatting sqref="AC9:AC16">
    <cfRule type="cellIs" dxfId="702" priority="196" operator="equal">
      <formula>"0"</formula>
    </cfRule>
  </conditionalFormatting>
  <conditionalFormatting sqref="AD28">
    <cfRule type="cellIs" dxfId="701" priority="193" operator="equal">
      <formula>3</formula>
    </cfRule>
    <cfRule type="cellIs" dxfId="700" priority="194" operator="equal">
      <formula>2</formula>
    </cfRule>
    <cfRule type="cellIs" dxfId="699" priority="195" operator="equal">
      <formula>1</formula>
    </cfRule>
  </conditionalFormatting>
  <conditionalFormatting sqref="AD30">
    <cfRule type="cellIs" dxfId="698" priority="190" operator="equal">
      <formula>3</formula>
    </cfRule>
    <cfRule type="cellIs" dxfId="697" priority="191" operator="equal">
      <formula>2</formula>
    </cfRule>
    <cfRule type="cellIs" dxfId="696" priority="192" operator="equal">
      <formula>1</formula>
    </cfRule>
  </conditionalFormatting>
  <conditionalFormatting sqref="AD29">
    <cfRule type="cellIs" dxfId="695" priority="187" operator="between">
      <formula>3.01</formula>
      <formula>4</formula>
    </cfRule>
    <cfRule type="cellIs" dxfId="694" priority="188" operator="between">
      <formula>2.01</formula>
      <formula>3</formula>
    </cfRule>
    <cfRule type="cellIs" dxfId="693" priority="189" operator="lessThanOrEqual">
      <formula>2</formula>
    </cfRule>
  </conditionalFormatting>
  <conditionalFormatting sqref="AD29">
    <cfRule type="expression" dxfId="692" priority="186">
      <formula>AD29=""</formula>
    </cfRule>
  </conditionalFormatting>
  <conditionalFormatting sqref="AD30">
    <cfRule type="expression" dxfId="691" priority="185">
      <formula>AD30=""</formula>
    </cfRule>
  </conditionalFormatting>
  <conditionalFormatting sqref="AD28">
    <cfRule type="expression" dxfId="690" priority="184">
      <formula>AD28=""</formula>
    </cfRule>
  </conditionalFormatting>
  <conditionalFormatting sqref="AD9:AD16">
    <cfRule type="cellIs" dxfId="689" priority="183" operator="equal">
      <formula>"0"</formula>
    </cfRule>
  </conditionalFormatting>
  <conditionalFormatting sqref="AE28">
    <cfRule type="cellIs" dxfId="688" priority="180" operator="equal">
      <formula>3</formula>
    </cfRule>
    <cfRule type="cellIs" dxfId="687" priority="181" operator="equal">
      <formula>2</formula>
    </cfRule>
    <cfRule type="cellIs" dxfId="686" priority="182" operator="equal">
      <formula>1</formula>
    </cfRule>
  </conditionalFormatting>
  <conditionalFormatting sqref="AE30">
    <cfRule type="cellIs" dxfId="685" priority="177" operator="equal">
      <formula>3</formula>
    </cfRule>
    <cfRule type="cellIs" dxfId="684" priority="178" operator="equal">
      <formula>2</formula>
    </cfRule>
    <cfRule type="cellIs" dxfId="683" priority="179" operator="equal">
      <formula>1</formula>
    </cfRule>
  </conditionalFormatting>
  <conditionalFormatting sqref="AE29">
    <cfRule type="cellIs" dxfId="682" priority="174" operator="between">
      <formula>3.01</formula>
      <formula>4</formula>
    </cfRule>
    <cfRule type="cellIs" dxfId="681" priority="175" operator="between">
      <formula>2.01</formula>
      <formula>3</formula>
    </cfRule>
    <cfRule type="cellIs" dxfId="680" priority="176" operator="lessThanOrEqual">
      <formula>2</formula>
    </cfRule>
  </conditionalFormatting>
  <conditionalFormatting sqref="AE29">
    <cfRule type="expression" dxfId="679" priority="173">
      <formula>AE29=""</formula>
    </cfRule>
  </conditionalFormatting>
  <conditionalFormatting sqref="AE30">
    <cfRule type="expression" dxfId="678" priority="172">
      <formula>AE30=""</formula>
    </cfRule>
  </conditionalFormatting>
  <conditionalFormatting sqref="AE28">
    <cfRule type="expression" dxfId="677" priority="171">
      <formula>AE28=""</formula>
    </cfRule>
  </conditionalFormatting>
  <conditionalFormatting sqref="AE9:AE16">
    <cfRule type="cellIs" dxfId="676" priority="170" operator="equal">
      <formula>"0"</formula>
    </cfRule>
  </conditionalFormatting>
  <conditionalFormatting sqref="AF28">
    <cfRule type="cellIs" dxfId="675" priority="167" operator="equal">
      <formula>3</formula>
    </cfRule>
    <cfRule type="cellIs" dxfId="674" priority="168" operator="equal">
      <formula>2</formula>
    </cfRule>
    <cfRule type="cellIs" dxfId="673" priority="169" operator="equal">
      <formula>1</formula>
    </cfRule>
  </conditionalFormatting>
  <conditionalFormatting sqref="AF30">
    <cfRule type="cellIs" dxfId="672" priority="164" operator="equal">
      <formula>3</formula>
    </cfRule>
    <cfRule type="cellIs" dxfId="671" priority="165" operator="equal">
      <formula>2</formula>
    </cfRule>
    <cfRule type="cellIs" dxfId="670" priority="166" operator="equal">
      <formula>1</formula>
    </cfRule>
  </conditionalFormatting>
  <conditionalFormatting sqref="AF29">
    <cfRule type="cellIs" dxfId="669" priority="161" operator="between">
      <formula>3.01</formula>
      <formula>4</formula>
    </cfRule>
    <cfRule type="cellIs" dxfId="668" priority="162" operator="between">
      <formula>2.01</formula>
      <formula>3</formula>
    </cfRule>
    <cfRule type="cellIs" dxfId="667" priority="163" operator="lessThanOrEqual">
      <formula>2</formula>
    </cfRule>
  </conditionalFormatting>
  <conditionalFormatting sqref="AF29">
    <cfRule type="expression" dxfId="666" priority="160">
      <formula>AF29=""</formula>
    </cfRule>
  </conditionalFormatting>
  <conditionalFormatting sqref="AF30">
    <cfRule type="expression" dxfId="665" priority="159">
      <formula>AF30=""</formula>
    </cfRule>
  </conditionalFormatting>
  <conditionalFormatting sqref="AF28">
    <cfRule type="expression" dxfId="664" priority="158">
      <formula>AF28=""</formula>
    </cfRule>
  </conditionalFormatting>
  <conditionalFormatting sqref="AF9:AF16">
    <cfRule type="cellIs" dxfId="663" priority="157" operator="equal">
      <formula>"0"</formula>
    </cfRule>
  </conditionalFormatting>
  <conditionalFormatting sqref="AG28">
    <cfRule type="cellIs" dxfId="662" priority="154" operator="equal">
      <formula>3</formula>
    </cfRule>
    <cfRule type="cellIs" dxfId="661" priority="155" operator="equal">
      <formula>2</formula>
    </cfRule>
    <cfRule type="cellIs" dxfId="660" priority="156" operator="equal">
      <formula>1</formula>
    </cfRule>
  </conditionalFormatting>
  <conditionalFormatting sqref="AG30">
    <cfRule type="cellIs" dxfId="659" priority="151" operator="equal">
      <formula>3</formula>
    </cfRule>
    <cfRule type="cellIs" dxfId="658" priority="152" operator="equal">
      <formula>2</formula>
    </cfRule>
    <cfRule type="cellIs" dxfId="657" priority="153" operator="equal">
      <formula>1</formula>
    </cfRule>
  </conditionalFormatting>
  <conditionalFormatting sqref="AG29">
    <cfRule type="cellIs" dxfId="656" priority="148" operator="between">
      <formula>3.01</formula>
      <formula>4</formula>
    </cfRule>
    <cfRule type="cellIs" dxfId="655" priority="149" operator="between">
      <formula>2.01</formula>
      <formula>3</formula>
    </cfRule>
    <cfRule type="cellIs" dxfId="654" priority="150" operator="lessThanOrEqual">
      <formula>2</formula>
    </cfRule>
  </conditionalFormatting>
  <conditionalFormatting sqref="AG29">
    <cfRule type="expression" dxfId="653" priority="147">
      <formula>AG29=""</formula>
    </cfRule>
  </conditionalFormatting>
  <conditionalFormatting sqref="AG30">
    <cfRule type="expression" dxfId="652" priority="146">
      <formula>AG30=""</formula>
    </cfRule>
  </conditionalFormatting>
  <conditionalFormatting sqref="AG28">
    <cfRule type="expression" dxfId="651" priority="145">
      <formula>AG28=""</formula>
    </cfRule>
  </conditionalFormatting>
  <conditionalFormatting sqref="AG9:AG16">
    <cfRule type="cellIs" dxfId="650" priority="144" operator="equal">
      <formula>"0"</formula>
    </cfRule>
  </conditionalFormatting>
  <conditionalFormatting sqref="AH28">
    <cfRule type="cellIs" dxfId="649" priority="141" operator="equal">
      <formula>3</formula>
    </cfRule>
    <cfRule type="cellIs" dxfId="648" priority="142" operator="equal">
      <formula>2</formula>
    </cfRule>
    <cfRule type="cellIs" dxfId="647" priority="143" operator="equal">
      <formula>1</formula>
    </cfRule>
  </conditionalFormatting>
  <conditionalFormatting sqref="AH30">
    <cfRule type="cellIs" dxfId="646" priority="138" operator="equal">
      <formula>3</formula>
    </cfRule>
    <cfRule type="cellIs" dxfId="645" priority="139" operator="equal">
      <formula>2</formula>
    </cfRule>
    <cfRule type="cellIs" dxfId="644" priority="140" operator="equal">
      <formula>1</formula>
    </cfRule>
  </conditionalFormatting>
  <conditionalFormatting sqref="AH29">
    <cfRule type="cellIs" dxfId="643" priority="135" operator="between">
      <formula>3.01</formula>
      <formula>4</formula>
    </cfRule>
    <cfRule type="cellIs" dxfId="642" priority="136" operator="between">
      <formula>2.01</formula>
      <formula>3</formula>
    </cfRule>
    <cfRule type="cellIs" dxfId="641" priority="137" operator="lessThanOrEqual">
      <formula>2</formula>
    </cfRule>
  </conditionalFormatting>
  <conditionalFormatting sqref="AH29">
    <cfRule type="expression" dxfId="640" priority="134">
      <formula>AH29=""</formula>
    </cfRule>
  </conditionalFormatting>
  <conditionalFormatting sqref="AH30">
    <cfRule type="expression" dxfId="639" priority="133">
      <formula>AH30=""</formula>
    </cfRule>
  </conditionalFormatting>
  <conditionalFormatting sqref="AH28">
    <cfRule type="expression" dxfId="638" priority="132">
      <formula>AH28=""</formula>
    </cfRule>
  </conditionalFormatting>
  <conditionalFormatting sqref="AH9:AH16">
    <cfRule type="cellIs" dxfId="637" priority="131" operator="equal">
      <formula>"0"</formula>
    </cfRule>
  </conditionalFormatting>
  <conditionalFormatting sqref="AI28">
    <cfRule type="cellIs" dxfId="636" priority="128" operator="equal">
      <formula>3</formula>
    </cfRule>
    <cfRule type="cellIs" dxfId="635" priority="129" operator="equal">
      <formula>2</formula>
    </cfRule>
    <cfRule type="cellIs" dxfId="634" priority="130" operator="equal">
      <formula>1</formula>
    </cfRule>
  </conditionalFormatting>
  <conditionalFormatting sqref="AI30">
    <cfRule type="cellIs" dxfId="633" priority="125" operator="equal">
      <formula>3</formula>
    </cfRule>
    <cfRule type="cellIs" dxfId="632" priority="126" operator="equal">
      <formula>2</formula>
    </cfRule>
    <cfRule type="cellIs" dxfId="631" priority="127" operator="equal">
      <formula>1</formula>
    </cfRule>
  </conditionalFormatting>
  <conditionalFormatting sqref="AI29">
    <cfRule type="cellIs" dxfId="630" priority="122" operator="between">
      <formula>3.01</formula>
      <formula>4</formula>
    </cfRule>
    <cfRule type="cellIs" dxfId="629" priority="123" operator="between">
      <formula>2.01</formula>
      <formula>3</formula>
    </cfRule>
    <cfRule type="cellIs" dxfId="628" priority="124" operator="lessThanOrEqual">
      <formula>2</formula>
    </cfRule>
  </conditionalFormatting>
  <conditionalFormatting sqref="AI29">
    <cfRule type="expression" dxfId="627" priority="121">
      <formula>AI29=""</formula>
    </cfRule>
  </conditionalFormatting>
  <conditionalFormatting sqref="AI30">
    <cfRule type="expression" dxfId="626" priority="120">
      <formula>AI30=""</formula>
    </cfRule>
  </conditionalFormatting>
  <conditionalFormatting sqref="AI28">
    <cfRule type="expression" dxfId="625" priority="119">
      <formula>AI28=""</formula>
    </cfRule>
  </conditionalFormatting>
  <conditionalFormatting sqref="AI9:AI16">
    <cfRule type="cellIs" dxfId="624" priority="118" operator="equal">
      <formula>"0"</formula>
    </cfRule>
  </conditionalFormatting>
  <conditionalFormatting sqref="AJ28">
    <cfRule type="cellIs" dxfId="623" priority="115" operator="equal">
      <formula>3</formula>
    </cfRule>
    <cfRule type="cellIs" dxfId="622" priority="116" operator="equal">
      <formula>2</formula>
    </cfRule>
    <cfRule type="cellIs" dxfId="621" priority="117" operator="equal">
      <formula>1</formula>
    </cfRule>
  </conditionalFormatting>
  <conditionalFormatting sqref="AJ30">
    <cfRule type="cellIs" dxfId="620" priority="112" operator="equal">
      <formula>3</formula>
    </cfRule>
    <cfRule type="cellIs" dxfId="619" priority="113" operator="equal">
      <formula>2</formula>
    </cfRule>
    <cfRule type="cellIs" dxfId="618" priority="114" operator="equal">
      <formula>1</formula>
    </cfRule>
  </conditionalFormatting>
  <conditionalFormatting sqref="AJ29">
    <cfRule type="cellIs" dxfId="617" priority="109" operator="between">
      <formula>3.01</formula>
      <formula>4</formula>
    </cfRule>
    <cfRule type="cellIs" dxfId="616" priority="110" operator="between">
      <formula>2.01</formula>
      <formula>3</formula>
    </cfRule>
    <cfRule type="cellIs" dxfId="615" priority="111" operator="lessThanOrEqual">
      <formula>2</formula>
    </cfRule>
  </conditionalFormatting>
  <conditionalFormatting sqref="AJ29">
    <cfRule type="expression" dxfId="614" priority="108">
      <formula>AJ29=""</formula>
    </cfRule>
  </conditionalFormatting>
  <conditionalFormatting sqref="AJ30">
    <cfRule type="expression" dxfId="613" priority="107">
      <formula>AJ30=""</formula>
    </cfRule>
  </conditionalFormatting>
  <conditionalFormatting sqref="AJ28">
    <cfRule type="expression" dxfId="612" priority="106">
      <formula>AJ28=""</formula>
    </cfRule>
  </conditionalFormatting>
  <conditionalFormatting sqref="AJ9:AJ16">
    <cfRule type="cellIs" dxfId="611" priority="105" operator="equal">
      <formula>"0"</formula>
    </cfRule>
  </conditionalFormatting>
  <conditionalFormatting sqref="AK28">
    <cfRule type="cellIs" dxfId="610" priority="102" operator="equal">
      <formula>3</formula>
    </cfRule>
    <cfRule type="cellIs" dxfId="609" priority="103" operator="equal">
      <formula>2</formula>
    </cfRule>
    <cfRule type="cellIs" dxfId="608" priority="104" operator="equal">
      <formula>1</formula>
    </cfRule>
  </conditionalFormatting>
  <conditionalFormatting sqref="AK30">
    <cfRule type="cellIs" dxfId="607" priority="99" operator="equal">
      <formula>3</formula>
    </cfRule>
    <cfRule type="cellIs" dxfId="606" priority="100" operator="equal">
      <formula>2</formula>
    </cfRule>
    <cfRule type="cellIs" dxfId="605" priority="101" operator="equal">
      <formula>1</formula>
    </cfRule>
  </conditionalFormatting>
  <conditionalFormatting sqref="AK29">
    <cfRule type="cellIs" dxfId="604" priority="96" operator="between">
      <formula>3.01</formula>
      <formula>4</formula>
    </cfRule>
    <cfRule type="cellIs" dxfId="603" priority="97" operator="between">
      <formula>2.01</formula>
      <formula>3</formula>
    </cfRule>
    <cfRule type="cellIs" dxfId="602" priority="98" operator="lessThanOrEqual">
      <formula>2</formula>
    </cfRule>
  </conditionalFormatting>
  <conditionalFormatting sqref="AK29">
    <cfRule type="expression" dxfId="601" priority="95">
      <formula>AK29=""</formula>
    </cfRule>
  </conditionalFormatting>
  <conditionalFormatting sqref="AK30">
    <cfRule type="expression" dxfId="600" priority="94">
      <formula>AK30=""</formula>
    </cfRule>
  </conditionalFormatting>
  <conditionalFormatting sqref="AK28">
    <cfRule type="expression" dxfId="599" priority="93">
      <formula>AK28=""</formula>
    </cfRule>
  </conditionalFormatting>
  <conditionalFormatting sqref="AK9:AK16">
    <cfRule type="cellIs" dxfId="598" priority="92" operator="equal">
      <formula>"0"</formula>
    </cfRule>
  </conditionalFormatting>
  <conditionalFormatting sqref="AL28">
    <cfRule type="cellIs" dxfId="597" priority="89" operator="equal">
      <formula>3</formula>
    </cfRule>
    <cfRule type="cellIs" dxfId="596" priority="90" operator="equal">
      <formula>2</formula>
    </cfRule>
    <cfRule type="cellIs" dxfId="595" priority="91" operator="equal">
      <formula>1</formula>
    </cfRule>
  </conditionalFormatting>
  <conditionalFormatting sqref="AL30">
    <cfRule type="cellIs" dxfId="594" priority="86" operator="equal">
      <formula>3</formula>
    </cfRule>
    <cfRule type="cellIs" dxfId="593" priority="87" operator="equal">
      <formula>2</formula>
    </cfRule>
    <cfRule type="cellIs" dxfId="592" priority="88" operator="equal">
      <formula>1</formula>
    </cfRule>
  </conditionalFormatting>
  <conditionalFormatting sqref="AL29">
    <cfRule type="cellIs" dxfId="591" priority="83" operator="between">
      <formula>3.01</formula>
      <formula>4</formula>
    </cfRule>
    <cfRule type="cellIs" dxfId="590" priority="84" operator="between">
      <formula>2.01</formula>
      <formula>3</formula>
    </cfRule>
    <cfRule type="cellIs" dxfId="589" priority="85" operator="lessThanOrEqual">
      <formula>2</formula>
    </cfRule>
  </conditionalFormatting>
  <conditionalFormatting sqref="AL29">
    <cfRule type="expression" dxfId="588" priority="82">
      <formula>AL29=""</formula>
    </cfRule>
  </conditionalFormatting>
  <conditionalFormatting sqref="AL30">
    <cfRule type="expression" dxfId="587" priority="81">
      <formula>AL30=""</formula>
    </cfRule>
  </conditionalFormatting>
  <conditionalFormatting sqref="AL28">
    <cfRule type="expression" dxfId="586" priority="80">
      <formula>AL28=""</formula>
    </cfRule>
  </conditionalFormatting>
  <conditionalFormatting sqref="AL9:AL16">
    <cfRule type="cellIs" dxfId="585" priority="79" operator="equal">
      <formula>"0"</formula>
    </cfRule>
  </conditionalFormatting>
  <conditionalFormatting sqref="AM28">
    <cfRule type="cellIs" dxfId="584" priority="76" operator="equal">
      <formula>3</formula>
    </cfRule>
    <cfRule type="cellIs" dxfId="583" priority="77" operator="equal">
      <formula>2</formula>
    </cfRule>
    <cfRule type="cellIs" dxfId="582" priority="78" operator="equal">
      <formula>1</formula>
    </cfRule>
  </conditionalFormatting>
  <conditionalFormatting sqref="AM30">
    <cfRule type="cellIs" dxfId="581" priority="73" operator="equal">
      <formula>3</formula>
    </cfRule>
    <cfRule type="cellIs" dxfId="580" priority="74" operator="equal">
      <formula>2</formula>
    </cfRule>
    <cfRule type="cellIs" dxfId="579" priority="75" operator="equal">
      <formula>1</formula>
    </cfRule>
  </conditionalFormatting>
  <conditionalFormatting sqref="AM29">
    <cfRule type="cellIs" dxfId="578" priority="70" operator="between">
      <formula>3.01</formula>
      <formula>4</formula>
    </cfRule>
    <cfRule type="cellIs" dxfId="577" priority="71" operator="between">
      <formula>2.01</formula>
      <formula>3</formula>
    </cfRule>
    <cfRule type="cellIs" dxfId="576" priority="72" operator="lessThanOrEqual">
      <formula>2</formula>
    </cfRule>
  </conditionalFormatting>
  <conditionalFormatting sqref="AM29">
    <cfRule type="expression" dxfId="575" priority="69">
      <formula>AM29=""</formula>
    </cfRule>
  </conditionalFormatting>
  <conditionalFormatting sqref="AM30">
    <cfRule type="expression" dxfId="574" priority="68">
      <formula>AM30=""</formula>
    </cfRule>
  </conditionalFormatting>
  <conditionalFormatting sqref="AM28">
    <cfRule type="expression" dxfId="573" priority="67">
      <formula>AM28=""</formula>
    </cfRule>
  </conditionalFormatting>
  <conditionalFormatting sqref="AM9:AM16">
    <cfRule type="cellIs" dxfId="572" priority="66" operator="equal">
      <formula>"0"</formula>
    </cfRule>
  </conditionalFormatting>
  <conditionalFormatting sqref="AN28">
    <cfRule type="cellIs" dxfId="571" priority="63" operator="equal">
      <formula>3</formula>
    </cfRule>
    <cfRule type="cellIs" dxfId="570" priority="64" operator="equal">
      <formula>2</formula>
    </cfRule>
    <cfRule type="cellIs" dxfId="569" priority="65" operator="equal">
      <formula>1</formula>
    </cfRule>
  </conditionalFormatting>
  <conditionalFormatting sqref="AN30">
    <cfRule type="cellIs" dxfId="568" priority="60" operator="equal">
      <formula>3</formula>
    </cfRule>
    <cfRule type="cellIs" dxfId="567" priority="61" operator="equal">
      <formula>2</formula>
    </cfRule>
    <cfRule type="cellIs" dxfId="566" priority="62" operator="equal">
      <formula>1</formula>
    </cfRule>
  </conditionalFormatting>
  <conditionalFormatting sqref="AN29">
    <cfRule type="cellIs" dxfId="565" priority="57" operator="between">
      <formula>3.01</formula>
      <formula>4</formula>
    </cfRule>
    <cfRule type="cellIs" dxfId="564" priority="58" operator="between">
      <formula>2.01</formula>
      <formula>3</formula>
    </cfRule>
    <cfRule type="cellIs" dxfId="563" priority="59" operator="lessThanOrEqual">
      <formula>2</formula>
    </cfRule>
  </conditionalFormatting>
  <conditionalFormatting sqref="AN29">
    <cfRule type="expression" dxfId="562" priority="56">
      <formula>AN29=""</formula>
    </cfRule>
  </conditionalFormatting>
  <conditionalFormatting sqref="AN30">
    <cfRule type="expression" dxfId="561" priority="55">
      <formula>AN30=""</formula>
    </cfRule>
  </conditionalFormatting>
  <conditionalFormatting sqref="AN28">
    <cfRule type="expression" dxfId="560" priority="54">
      <formula>AN28=""</formula>
    </cfRule>
  </conditionalFormatting>
  <conditionalFormatting sqref="AN9:AN16">
    <cfRule type="cellIs" dxfId="559" priority="53" operator="equal">
      <formula>"0"</formula>
    </cfRule>
  </conditionalFormatting>
  <conditionalFormatting sqref="AO28">
    <cfRule type="cellIs" dxfId="558" priority="50" operator="equal">
      <formula>3</formula>
    </cfRule>
    <cfRule type="cellIs" dxfId="557" priority="51" operator="equal">
      <formula>2</formula>
    </cfRule>
    <cfRule type="cellIs" dxfId="556" priority="52" operator="equal">
      <formula>1</formula>
    </cfRule>
  </conditionalFormatting>
  <conditionalFormatting sqref="AO30">
    <cfRule type="cellIs" dxfId="555" priority="47" operator="equal">
      <formula>3</formula>
    </cfRule>
    <cfRule type="cellIs" dxfId="554" priority="48" operator="equal">
      <formula>2</formula>
    </cfRule>
    <cfRule type="cellIs" dxfId="553" priority="49" operator="equal">
      <formula>1</formula>
    </cfRule>
  </conditionalFormatting>
  <conditionalFormatting sqref="AO29">
    <cfRule type="cellIs" dxfId="552" priority="44" operator="between">
      <formula>3.01</formula>
      <formula>4</formula>
    </cfRule>
    <cfRule type="cellIs" dxfId="551" priority="45" operator="between">
      <formula>2.01</formula>
      <formula>3</formula>
    </cfRule>
    <cfRule type="cellIs" dxfId="550" priority="46" operator="lessThanOrEqual">
      <formula>2</formula>
    </cfRule>
  </conditionalFormatting>
  <conditionalFormatting sqref="AO29">
    <cfRule type="expression" dxfId="549" priority="43">
      <formula>AO29=""</formula>
    </cfRule>
  </conditionalFormatting>
  <conditionalFormatting sqref="AO30">
    <cfRule type="expression" dxfId="548" priority="42">
      <formula>AO30=""</formula>
    </cfRule>
  </conditionalFormatting>
  <conditionalFormatting sqref="AO28">
    <cfRule type="expression" dxfId="547" priority="41">
      <formula>AO28=""</formula>
    </cfRule>
  </conditionalFormatting>
  <conditionalFormatting sqref="AO9:AO16">
    <cfRule type="cellIs" dxfId="546" priority="40" operator="equal">
      <formula>"0"</formula>
    </cfRule>
  </conditionalFormatting>
  <conditionalFormatting sqref="AP28">
    <cfRule type="cellIs" dxfId="545" priority="37" operator="equal">
      <formula>3</formula>
    </cfRule>
    <cfRule type="cellIs" dxfId="544" priority="38" operator="equal">
      <formula>2</formula>
    </cfRule>
    <cfRule type="cellIs" dxfId="543" priority="39" operator="equal">
      <formula>1</formula>
    </cfRule>
  </conditionalFormatting>
  <conditionalFormatting sqref="AP30">
    <cfRule type="cellIs" dxfId="542" priority="34" operator="equal">
      <formula>3</formula>
    </cfRule>
    <cfRule type="cellIs" dxfId="541" priority="35" operator="equal">
      <formula>2</formula>
    </cfRule>
    <cfRule type="cellIs" dxfId="540" priority="36" operator="equal">
      <formula>1</formula>
    </cfRule>
  </conditionalFormatting>
  <conditionalFormatting sqref="AP29">
    <cfRule type="cellIs" dxfId="539" priority="31" operator="between">
      <formula>3.01</formula>
      <formula>4</formula>
    </cfRule>
    <cfRule type="cellIs" dxfId="538" priority="32" operator="between">
      <formula>2.01</formula>
      <formula>3</formula>
    </cfRule>
    <cfRule type="cellIs" dxfId="537" priority="33" operator="lessThanOrEqual">
      <formula>2</formula>
    </cfRule>
  </conditionalFormatting>
  <conditionalFormatting sqref="AP29">
    <cfRule type="expression" dxfId="536" priority="30">
      <formula>AP29=""</formula>
    </cfRule>
  </conditionalFormatting>
  <conditionalFormatting sqref="AP30">
    <cfRule type="expression" dxfId="535" priority="29">
      <formula>AP30=""</formula>
    </cfRule>
  </conditionalFormatting>
  <conditionalFormatting sqref="AP28">
    <cfRule type="expression" dxfId="534" priority="28">
      <formula>AP28=""</formula>
    </cfRule>
  </conditionalFormatting>
  <conditionalFormatting sqref="AP9:AP16">
    <cfRule type="cellIs" dxfId="533" priority="27" operator="equal">
      <formula>"0"</formula>
    </cfRule>
  </conditionalFormatting>
  <conditionalFormatting sqref="AQ28">
    <cfRule type="cellIs" dxfId="532" priority="24" operator="equal">
      <formula>3</formula>
    </cfRule>
    <cfRule type="cellIs" dxfId="531" priority="25" operator="equal">
      <formula>2</formula>
    </cfRule>
    <cfRule type="cellIs" dxfId="530" priority="26" operator="equal">
      <formula>1</formula>
    </cfRule>
  </conditionalFormatting>
  <conditionalFormatting sqref="AQ30">
    <cfRule type="cellIs" dxfId="529" priority="21" operator="equal">
      <formula>3</formula>
    </cfRule>
    <cfRule type="cellIs" dxfId="528" priority="22" operator="equal">
      <formula>2</formula>
    </cfRule>
    <cfRule type="cellIs" dxfId="527" priority="23" operator="equal">
      <formula>1</formula>
    </cfRule>
  </conditionalFormatting>
  <conditionalFormatting sqref="AQ29">
    <cfRule type="cellIs" dxfId="526" priority="18" operator="between">
      <formula>3.01</formula>
      <formula>4</formula>
    </cfRule>
    <cfRule type="cellIs" dxfId="525" priority="19" operator="between">
      <formula>2.01</formula>
      <formula>3</formula>
    </cfRule>
    <cfRule type="cellIs" dxfId="524" priority="20" operator="lessThanOrEqual">
      <formula>2</formula>
    </cfRule>
  </conditionalFormatting>
  <conditionalFormatting sqref="AQ29">
    <cfRule type="expression" dxfId="523" priority="17">
      <formula>AQ29=""</formula>
    </cfRule>
  </conditionalFormatting>
  <conditionalFormatting sqref="AQ30">
    <cfRule type="expression" dxfId="522" priority="16">
      <formula>AQ30=""</formula>
    </cfRule>
  </conditionalFormatting>
  <conditionalFormatting sqref="AQ28">
    <cfRule type="expression" dxfId="521" priority="15">
      <formula>AQ28=""</formula>
    </cfRule>
  </conditionalFormatting>
  <conditionalFormatting sqref="AQ9:AQ16">
    <cfRule type="cellIs" dxfId="520" priority="14" operator="equal">
      <formula>"0"</formula>
    </cfRule>
  </conditionalFormatting>
  <conditionalFormatting sqref="AR28">
    <cfRule type="cellIs" dxfId="519" priority="11" operator="equal">
      <formula>3</formula>
    </cfRule>
    <cfRule type="cellIs" dxfId="518" priority="12" operator="equal">
      <formula>2</formula>
    </cfRule>
    <cfRule type="cellIs" dxfId="517" priority="13" operator="equal">
      <formula>1</formula>
    </cfRule>
  </conditionalFormatting>
  <conditionalFormatting sqref="AR30">
    <cfRule type="cellIs" dxfId="516" priority="8" operator="equal">
      <formula>3</formula>
    </cfRule>
    <cfRule type="cellIs" dxfId="515" priority="9" operator="equal">
      <formula>2</formula>
    </cfRule>
    <cfRule type="cellIs" dxfId="514" priority="10" operator="equal">
      <formula>1</formula>
    </cfRule>
  </conditionalFormatting>
  <conditionalFormatting sqref="AR29">
    <cfRule type="cellIs" dxfId="513" priority="5" operator="between">
      <formula>3.01</formula>
      <formula>4</formula>
    </cfRule>
    <cfRule type="cellIs" dxfId="512" priority="6" operator="between">
      <formula>2.01</formula>
      <formula>3</formula>
    </cfRule>
    <cfRule type="cellIs" dxfId="511" priority="7" operator="lessThanOrEqual">
      <formula>2</formula>
    </cfRule>
  </conditionalFormatting>
  <conditionalFormatting sqref="AR29">
    <cfRule type="expression" dxfId="510" priority="4">
      <formula>AR29=""</formula>
    </cfRule>
  </conditionalFormatting>
  <conditionalFormatting sqref="AR30">
    <cfRule type="expression" dxfId="509" priority="3">
      <formula>AR30=""</formula>
    </cfRule>
  </conditionalFormatting>
  <conditionalFormatting sqref="AR28">
    <cfRule type="expression" dxfId="508" priority="2">
      <formula>AR28=""</formula>
    </cfRule>
  </conditionalFormatting>
  <conditionalFormatting sqref="AR9:AR16">
    <cfRule type="cellIs" dxfId="507" priority="1" operator="equal">
      <formula>"0"</formula>
    </cfRule>
  </conditionalFormatting>
  <dataValidations count="76">
    <dataValidation type="list" allowBlank="1" showDropDown="1" showInputMessage="1" showErrorMessage="1" sqref="A40">
      <formula1>$A$40</formula1>
    </dataValidation>
    <dataValidation type="whole" allowBlank="1" showInputMessage="1" showErrorMessage="1" sqref="G1">
      <formula1>3</formula1>
      <formula2>50</formula2>
    </dataValidation>
    <dataValidation type="list" allowBlank="1" showInputMessage="1" showErrorMessage="1" sqref="H7:H16 H27">
      <formula1>"1,2,3"</formula1>
    </dataValidation>
    <dataValidation type="list" allowBlank="1" showInputMessage="1" showErrorMessage="1" sqref="H25:H26">
      <formula1>"1,3"</formula1>
    </dataValidation>
    <dataValidation type="list" allowBlank="1" showInputMessage="1" showErrorMessage="1" sqref="I7:I16 I27">
      <formula1>"1,2,3"</formula1>
    </dataValidation>
    <dataValidation type="list" allowBlank="1" showInputMessage="1" showErrorMessage="1" sqref="I25:I26">
      <formula1>"1,3"</formula1>
    </dataValidation>
    <dataValidation type="list" allowBlank="1" showInputMessage="1" showErrorMessage="1" sqref="J7:J16 J27">
      <formula1>"1,2,3"</formula1>
    </dataValidation>
    <dataValidation type="list" allowBlank="1" showInputMessage="1" showErrorMessage="1" sqref="J25:J26">
      <formula1>"1,3"</formula1>
    </dataValidation>
    <dataValidation type="list" allowBlank="1" showInputMessage="1" showErrorMessage="1" sqref="K7:K16 K27">
      <formula1>"1,2,3"</formula1>
    </dataValidation>
    <dataValidation type="list" allowBlank="1" showInputMessage="1" showErrorMessage="1" sqref="K25:K26">
      <formula1>"1,3"</formula1>
    </dataValidation>
    <dataValidation type="list" allowBlank="1" showInputMessage="1" showErrorMessage="1" sqref="L7:L16 L27">
      <formula1>"1,2,3"</formula1>
    </dataValidation>
    <dataValidation type="list" allowBlank="1" showInputMessage="1" showErrorMessage="1" sqref="L25:L26">
      <formula1>"1,3"</formula1>
    </dataValidation>
    <dataValidation type="list" allowBlank="1" showInputMessage="1" showErrorMessage="1" sqref="M7:M16 M27">
      <formula1>"1,2,3"</formula1>
    </dataValidation>
    <dataValidation type="list" allowBlank="1" showInputMessage="1" showErrorMessage="1" sqref="M25:M26">
      <formula1>"1,3"</formula1>
    </dataValidation>
    <dataValidation type="list" allowBlank="1" showInputMessage="1" showErrorMessage="1" sqref="N7:N16 N27">
      <formula1>"1,2,3"</formula1>
    </dataValidation>
    <dataValidation type="list" allowBlank="1" showInputMessage="1" showErrorMessage="1" sqref="N25:N26">
      <formula1>"1,3"</formula1>
    </dataValidation>
    <dataValidation type="list" allowBlank="1" showInputMessage="1" showErrorMessage="1" sqref="O7:O16 O27">
      <formula1>"1,2,3"</formula1>
    </dataValidation>
    <dataValidation type="list" allowBlank="1" showInputMessage="1" showErrorMessage="1" sqref="O25:O26">
      <formula1>"1,3"</formula1>
    </dataValidation>
    <dataValidation type="list" allowBlank="1" showInputMessage="1" showErrorMessage="1" sqref="P7:P16 P27">
      <formula1>"1,2,3"</formula1>
    </dataValidation>
    <dataValidation type="list" allowBlank="1" showInputMessage="1" showErrorMessage="1" sqref="P25:P26">
      <formula1>"1,3"</formula1>
    </dataValidation>
    <dataValidation type="list" allowBlank="1" showInputMessage="1" showErrorMessage="1" sqref="Q7:Q16 Q27">
      <formula1>"1,2,3"</formula1>
    </dataValidation>
    <dataValidation type="list" allowBlank="1" showInputMessage="1" showErrorMessage="1" sqref="Q25:Q26">
      <formula1>"1,3"</formula1>
    </dataValidation>
    <dataValidation type="list" allowBlank="1" showInputMessage="1" showErrorMessage="1" sqref="R7:R16 R27">
      <formula1>"1,2,3"</formula1>
    </dataValidation>
    <dataValidation type="list" allowBlank="1" showInputMessage="1" showErrorMessage="1" sqref="R25:R26">
      <formula1>"1,3"</formula1>
    </dataValidation>
    <dataValidation type="list" allowBlank="1" showInputMessage="1" showErrorMessage="1" sqref="S7:S16 S27">
      <formula1>"1,2,3"</formula1>
    </dataValidation>
    <dataValidation type="list" allowBlank="1" showInputMessage="1" showErrorMessage="1" sqref="S25:S26">
      <formula1>"1,3"</formula1>
    </dataValidation>
    <dataValidation type="list" allowBlank="1" showInputMessage="1" showErrorMessage="1" sqref="T7:T16 T27">
      <formula1>"1,2,3"</formula1>
    </dataValidation>
    <dataValidation type="list" allowBlank="1" showInputMessage="1" showErrorMessage="1" sqref="T25:T26">
      <formula1>"1,3"</formula1>
    </dataValidation>
    <dataValidation type="list" allowBlank="1" showInputMessage="1" showErrorMessage="1" sqref="U7:U16 U27">
      <formula1>"1,2,3"</formula1>
    </dataValidation>
    <dataValidation type="list" allowBlank="1" showInputMessage="1" showErrorMessage="1" sqref="U25:U26">
      <formula1>"1,3"</formula1>
    </dataValidation>
    <dataValidation type="list" allowBlank="1" showInputMessage="1" showErrorMessage="1" sqref="V7:V16 V27">
      <formula1>"1,2,3"</formula1>
    </dataValidation>
    <dataValidation type="list" allowBlank="1" showInputMessage="1" showErrorMessage="1" sqref="V25:V26">
      <formula1>"1,3"</formula1>
    </dataValidation>
    <dataValidation type="list" allowBlank="1" showInputMessage="1" showErrorMessage="1" sqref="W7:W16 W27">
      <formula1>"1,2,3"</formula1>
    </dataValidation>
    <dataValidation type="list" allowBlank="1" showInputMessage="1" showErrorMessage="1" sqref="W25:W26">
      <formula1>"1,3"</formula1>
    </dataValidation>
    <dataValidation type="list" allowBlank="1" showInputMessage="1" showErrorMessage="1" sqref="X7:X16 X27">
      <formula1>"1,2,3"</formula1>
    </dataValidation>
    <dataValidation type="list" allowBlank="1" showInputMessage="1" showErrorMessage="1" sqref="X25:X26">
      <formula1>"1,3"</formula1>
    </dataValidation>
    <dataValidation type="list" allowBlank="1" showInputMessage="1" showErrorMessage="1" sqref="Y7:Y16 Y27">
      <formula1>"1,2,3"</formula1>
    </dataValidation>
    <dataValidation type="list" allowBlank="1" showInputMessage="1" showErrorMessage="1" sqref="Y25:Y26">
      <formula1>"1,3"</formula1>
    </dataValidation>
    <dataValidation type="list" allowBlank="1" showInputMessage="1" showErrorMessage="1" sqref="Z7:Z16 Z27">
      <formula1>"1,2,3"</formula1>
    </dataValidation>
    <dataValidation type="list" allowBlank="1" showInputMessage="1" showErrorMessage="1" sqref="Z25:Z26">
      <formula1>"1,3"</formula1>
    </dataValidation>
    <dataValidation type="list" allowBlank="1" showInputMessage="1" showErrorMessage="1" sqref="AA7:AA16 AA27">
      <formula1>"1,2,3"</formula1>
    </dataValidation>
    <dataValidation type="list" allowBlank="1" showInputMessage="1" showErrorMessage="1" sqref="AA25:AA26">
      <formula1>"1,3"</formula1>
    </dataValidation>
    <dataValidation type="list" allowBlank="1" showInputMessage="1" showErrorMessage="1" sqref="AB7:AB16 AB27">
      <formula1>"1,2,3"</formula1>
    </dataValidation>
    <dataValidation type="list" allowBlank="1" showInputMessage="1" showErrorMessage="1" sqref="AB25:AB26">
      <formula1>"1,3"</formula1>
    </dataValidation>
    <dataValidation type="list" allowBlank="1" showInputMessage="1" showErrorMessage="1" sqref="AC7:AC16 AC27">
      <formula1>"1,2,3"</formula1>
    </dataValidation>
    <dataValidation type="list" allowBlank="1" showInputMessage="1" showErrorMessage="1" sqref="AC25:AC26">
      <formula1>"1,3"</formula1>
    </dataValidation>
    <dataValidation type="list" allowBlank="1" showInputMessage="1" showErrorMessage="1" sqref="AD7:AD16 AD27">
      <formula1>"1,2,3"</formula1>
    </dataValidation>
    <dataValidation type="list" allowBlank="1" showInputMessage="1" showErrorMessage="1" sqref="AD25:AD26">
      <formula1>"1,3"</formula1>
    </dataValidation>
    <dataValidation type="list" allowBlank="1" showInputMessage="1" showErrorMessage="1" sqref="AE7:AE16 AE27">
      <formula1>"1,2,3"</formula1>
    </dataValidation>
    <dataValidation type="list" allowBlank="1" showInputMessage="1" showErrorMessage="1" sqref="AE25:AE26">
      <formula1>"1,3"</formula1>
    </dataValidation>
    <dataValidation type="list" allowBlank="1" showInputMessage="1" showErrorMessage="1" sqref="AF7:AF16 AF27">
      <formula1>"1,2,3"</formula1>
    </dataValidation>
    <dataValidation type="list" allowBlank="1" showInputMessage="1" showErrorMessage="1" sqref="AF25:AF26">
      <formula1>"1,3"</formula1>
    </dataValidation>
    <dataValidation type="list" allowBlank="1" showInputMessage="1" showErrorMessage="1" sqref="AG7:AG16 AG27">
      <formula1>"1,2,3"</formula1>
    </dataValidation>
    <dataValidation type="list" allowBlank="1" showInputMessage="1" showErrorMessage="1" sqref="AG25:AG26">
      <formula1>"1,3"</formula1>
    </dataValidation>
    <dataValidation type="list" allowBlank="1" showInputMessage="1" showErrorMessage="1" sqref="AH7:AH16 AH27">
      <formula1>"1,2,3"</formula1>
    </dataValidation>
    <dataValidation type="list" allowBlank="1" showInputMessage="1" showErrorMessage="1" sqref="AH25:AH26">
      <formula1>"1,3"</formula1>
    </dataValidation>
    <dataValidation type="list" allowBlank="1" showInputMessage="1" showErrorMessage="1" sqref="AI7:AI16 AI27">
      <formula1>"1,2,3"</formula1>
    </dataValidation>
    <dataValidation type="list" allowBlank="1" showInputMessage="1" showErrorMessage="1" sqref="AI25:AI26">
      <formula1>"1,3"</formula1>
    </dataValidation>
    <dataValidation type="list" allowBlank="1" showInputMessage="1" showErrorMessage="1" sqref="AJ7:AJ16 AJ27">
      <formula1>"1,2,3"</formula1>
    </dataValidation>
    <dataValidation type="list" allowBlank="1" showInputMessage="1" showErrorMessage="1" sqref="AJ25:AJ26">
      <formula1>"1,3"</formula1>
    </dataValidation>
    <dataValidation type="list" allowBlank="1" showInputMessage="1" showErrorMessage="1" sqref="AK7:AK16 AK27">
      <formula1>"1,2,3"</formula1>
    </dataValidation>
    <dataValidation type="list" allowBlank="1" showInputMessage="1" showErrorMessage="1" sqref="AK25:AK26">
      <formula1>"1,3"</formula1>
    </dataValidation>
    <dataValidation type="list" allowBlank="1" showInputMessage="1" showErrorMessage="1" sqref="AL7:AL16 AL27">
      <formula1>"1,2,3"</formula1>
    </dataValidation>
    <dataValidation type="list" allowBlank="1" showInputMessage="1" showErrorMessage="1" sqref="AL25:AL26">
      <formula1>"1,3"</formula1>
    </dataValidation>
    <dataValidation type="list" allowBlank="1" showInputMessage="1" showErrorMessage="1" sqref="AM7:AM16 AM27">
      <formula1>"1,2,3"</formula1>
    </dataValidation>
    <dataValidation type="list" allowBlank="1" showInputMessage="1" showErrorMessage="1" sqref="AM25:AM26">
      <formula1>"1,3"</formula1>
    </dataValidation>
    <dataValidation type="list" allowBlank="1" showInputMessage="1" showErrorMessage="1" sqref="AN7:AN16 AN27">
      <formula1>"1,2,3"</formula1>
    </dataValidation>
    <dataValidation type="list" allowBlank="1" showInputMessage="1" showErrorMessage="1" sqref="AN25:AN26">
      <formula1>"1,3"</formula1>
    </dataValidation>
    <dataValidation type="list" allowBlank="1" showInputMessage="1" showErrorMessage="1" sqref="AO7:AO16 AO27">
      <formula1>"1,2,3"</formula1>
    </dataValidation>
    <dataValidation type="list" allowBlank="1" showInputMessage="1" showErrorMessage="1" sqref="AO25:AO26">
      <formula1>"1,3"</formula1>
    </dataValidation>
    <dataValidation type="list" allowBlank="1" showInputMessage="1" showErrorMessage="1" sqref="AP7:AP16 AP27">
      <formula1>"1,2,3"</formula1>
    </dataValidation>
    <dataValidation type="list" allowBlank="1" showInputMessage="1" showErrorMessage="1" sqref="AP25:AP26">
      <formula1>"1,3"</formula1>
    </dataValidation>
    <dataValidation type="list" allowBlank="1" showInputMessage="1" showErrorMessage="1" sqref="AQ7:AQ16 AQ27">
      <formula1>"1,2,3"</formula1>
    </dataValidation>
    <dataValidation type="list" allowBlank="1" showInputMessage="1" showErrorMessage="1" sqref="AQ25:AQ26">
      <formula1>"1,3"</formula1>
    </dataValidation>
    <dataValidation type="list" allowBlank="1" showInputMessage="1" showErrorMessage="1" sqref="AR7:AR16 AR27">
      <formula1>"1,2,3"</formula1>
    </dataValidation>
    <dataValidation type="list" allowBlank="1" showInputMessage="1" showErrorMessage="1" sqref="AR25:AR26">
      <formula1>"1,3"</formula1>
    </dataValidation>
  </dataValidations>
  <pageMargins left="0.7" right="0.7" top="0.78740157499999996" bottom="0.78740157499999996" header="0.3" footer="0.3"/>
  <pageSetup paperSize="9" scale="35" orientation="portrait" r:id="rId1"/>
  <headerFooter>
    <oddHeader>&amp;C=&amp;Z&amp;F</oddHeader>
  </headerFooter>
  <drawing r:id="rId2"/>
  <legacyDrawing r:id="rId3"/>
  <extLst>
    <ext xmlns:x14="http://schemas.microsoft.com/office/spreadsheetml/2009/9/main" uri="{CCE6A557-97BC-4b89-ADB6-D9C93CAAB3DF}">
      <x14:dataValidations xmlns:xm="http://schemas.microsoft.com/office/excel/2006/main" count="2">
        <x14:dataValidation type="list" allowBlank="1" showErrorMessage="1">
          <x14:formula1>
            <xm:f>Sprachetabelle!$A$17:$A$19</xm:f>
          </x14:formula1>
          <xm:sqref>E7:G16 E27:G27</xm:sqref>
        </x14:dataValidation>
        <x14:dataValidation type="list" allowBlank="1" showInputMessage="1" showErrorMessage="1">
          <x14:formula1>
            <xm:f>Sprachetabelle!$B$17:$B$18</xm:f>
          </x14:formula1>
          <xm:sqref>E25:G26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1:AB48"/>
  <sheetViews>
    <sheetView zoomScale="70" zoomScaleNormal="70" workbookViewId="0">
      <selection activeCell="X30" sqref="X30"/>
    </sheetView>
  </sheetViews>
  <sheetFormatPr defaultColWidth="11.42578125" defaultRowHeight="12.75" x14ac:dyDescent="0.2"/>
  <cols>
    <col min="1" max="1" width="3.42578125" style="3" customWidth="1"/>
    <col min="2" max="24" width="11.42578125" style="3"/>
    <col min="25" max="28" width="11.42578125" style="76"/>
    <col min="29" max="16384" width="11.42578125" style="3"/>
  </cols>
  <sheetData>
    <row r="1" ht="106.5" customHeight="1" x14ac:dyDescent="0.2"/>
    <row r="44" spans="2:3" ht="36" customHeight="1" x14ac:dyDescent="0.2"/>
    <row r="45" spans="2:3" ht="25.5" x14ac:dyDescent="0.35">
      <c r="B45" s="20"/>
      <c r="C45" s="23" t="s">
        <v>65</v>
      </c>
    </row>
    <row r="46" spans="2:3" ht="25.5" x14ac:dyDescent="0.35">
      <c r="B46" s="21"/>
      <c r="C46" s="23" t="s">
        <v>66</v>
      </c>
    </row>
    <row r="47" spans="2:3" ht="25.5" x14ac:dyDescent="0.35">
      <c r="B47" s="22"/>
      <c r="C47" s="23" t="s">
        <v>67</v>
      </c>
    </row>
    <row r="48" spans="2:3" ht="25.5" x14ac:dyDescent="0.35">
      <c r="B48" s="23"/>
    </row>
  </sheetData>
  <pageMargins left="0.7" right="0.7" top="0.78740157499999996" bottom="0.78740157499999996" header="0.3" footer="0.3"/>
  <pageSetup orientation="portrait" horizontalDpi="1200" verticalDpi="12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F21"/>
  <sheetViews>
    <sheetView workbookViewId="0">
      <selection activeCell="C13" sqref="C13"/>
    </sheetView>
  </sheetViews>
  <sheetFormatPr defaultColWidth="11.42578125" defaultRowHeight="12.75" x14ac:dyDescent="0.2"/>
  <cols>
    <col min="1" max="1" width="4.7109375" style="1" customWidth="1"/>
    <col min="2" max="2" width="15.5703125" style="1" customWidth="1"/>
    <col min="3" max="5" width="18.28515625" style="1" customWidth="1"/>
    <col min="6" max="6" width="11.42578125" style="1"/>
  </cols>
  <sheetData>
    <row r="1" spans="1:6" s="33" customFormat="1" x14ac:dyDescent="0.2">
      <c r="A1" s="32" t="s">
        <v>77</v>
      </c>
      <c r="B1" s="32" t="s">
        <v>75</v>
      </c>
      <c r="C1" s="32" t="s">
        <v>80</v>
      </c>
      <c r="D1" s="32" t="s">
        <v>81</v>
      </c>
      <c r="E1" s="32" t="s">
        <v>76</v>
      </c>
      <c r="F1" s="7"/>
    </row>
    <row r="2" spans="1:6" x14ac:dyDescent="0.2">
      <c r="A2" s="30">
        <v>1</v>
      </c>
      <c r="B2" s="31">
        <v>43047</v>
      </c>
      <c r="C2" s="30" t="s">
        <v>78</v>
      </c>
      <c r="D2" s="30" t="s">
        <v>78</v>
      </c>
      <c r="E2" s="30" t="s">
        <v>79</v>
      </c>
    </row>
    <row r="3" spans="1:6" x14ac:dyDescent="0.2">
      <c r="A3" s="30"/>
      <c r="B3" s="30"/>
      <c r="C3" s="30"/>
      <c r="D3" s="30"/>
      <c r="E3" s="30"/>
    </row>
    <row r="4" spans="1:6" x14ac:dyDescent="0.2">
      <c r="A4" s="30"/>
      <c r="B4" s="30"/>
      <c r="C4" s="30"/>
      <c r="D4" s="30"/>
      <c r="E4" s="30"/>
    </row>
    <row r="5" spans="1:6" x14ac:dyDescent="0.2">
      <c r="A5" s="30"/>
      <c r="B5" s="30"/>
      <c r="C5" s="30"/>
      <c r="D5" s="30"/>
      <c r="E5" s="30"/>
    </row>
    <row r="6" spans="1:6" x14ac:dyDescent="0.2">
      <c r="A6" s="30"/>
      <c r="B6" s="30"/>
      <c r="C6" s="30"/>
      <c r="D6" s="30"/>
      <c r="E6" s="30"/>
    </row>
    <row r="7" spans="1:6" x14ac:dyDescent="0.2">
      <c r="A7" s="30"/>
      <c r="B7" s="30"/>
      <c r="C7" s="30"/>
      <c r="D7" s="30"/>
      <c r="E7" s="30"/>
    </row>
    <row r="8" spans="1:6" x14ac:dyDescent="0.2">
      <c r="A8" s="30"/>
      <c r="B8" s="30"/>
      <c r="C8" s="30"/>
      <c r="D8" s="30"/>
      <c r="E8" s="30"/>
    </row>
    <row r="9" spans="1:6" x14ac:dyDescent="0.2">
      <c r="A9" s="30"/>
      <c r="B9" s="30"/>
      <c r="C9" s="30"/>
      <c r="D9" s="30"/>
      <c r="E9" s="30"/>
    </row>
    <row r="10" spans="1:6" x14ac:dyDescent="0.2">
      <c r="A10" s="30"/>
      <c r="B10" s="30"/>
      <c r="C10" s="30"/>
      <c r="D10" s="30"/>
      <c r="E10" s="30"/>
    </row>
    <row r="11" spans="1:6" x14ac:dyDescent="0.2">
      <c r="A11" s="30"/>
      <c r="B11" s="30"/>
      <c r="C11" s="30"/>
      <c r="D11" s="30"/>
      <c r="E11" s="30"/>
    </row>
    <row r="12" spans="1:6" x14ac:dyDescent="0.2">
      <c r="A12" s="30"/>
      <c r="B12" s="30"/>
      <c r="C12" s="30"/>
      <c r="D12" s="30"/>
      <c r="E12" s="30"/>
    </row>
    <row r="13" spans="1:6" x14ac:dyDescent="0.2">
      <c r="A13" s="30"/>
      <c r="B13" s="30"/>
      <c r="C13" s="30"/>
      <c r="D13" s="30"/>
      <c r="E13" s="30"/>
    </row>
    <row r="14" spans="1:6" x14ac:dyDescent="0.2">
      <c r="A14" s="30"/>
      <c r="B14" s="30"/>
      <c r="C14" s="30"/>
      <c r="D14" s="30"/>
      <c r="E14" s="30"/>
    </row>
    <row r="15" spans="1:6" x14ac:dyDescent="0.2">
      <c r="A15" s="30"/>
      <c r="B15" s="30"/>
      <c r="C15" s="30"/>
      <c r="D15" s="30"/>
      <c r="E15" s="30"/>
    </row>
    <row r="16" spans="1:6" x14ac:dyDescent="0.2">
      <c r="A16" s="30"/>
      <c r="B16" s="30"/>
      <c r="C16" s="30"/>
      <c r="D16" s="30"/>
      <c r="E16" s="30"/>
    </row>
    <row r="17" spans="1:5" x14ac:dyDescent="0.2">
      <c r="A17" s="30"/>
      <c r="B17" s="30"/>
      <c r="C17" s="30"/>
      <c r="D17" s="30"/>
      <c r="E17" s="30"/>
    </row>
    <row r="18" spans="1:5" x14ac:dyDescent="0.2">
      <c r="A18" s="30"/>
      <c r="B18" s="30"/>
      <c r="C18" s="30"/>
      <c r="D18" s="30"/>
      <c r="E18" s="30"/>
    </row>
    <row r="19" spans="1:5" x14ac:dyDescent="0.2">
      <c r="A19" s="30"/>
      <c r="B19" s="30"/>
      <c r="C19" s="30"/>
      <c r="D19" s="30"/>
      <c r="E19" s="30"/>
    </row>
    <row r="20" spans="1:5" x14ac:dyDescent="0.2">
      <c r="A20" s="30"/>
      <c r="B20" s="30"/>
      <c r="C20" s="30"/>
      <c r="D20" s="30"/>
      <c r="E20" s="30"/>
    </row>
    <row r="21" spans="1:5" x14ac:dyDescent="0.2">
      <c r="A21" s="30"/>
      <c r="B21" s="30"/>
      <c r="C21" s="30"/>
      <c r="D21" s="30"/>
      <c r="E21" s="30"/>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Sprachetabelle</vt:lpstr>
      <vt:lpstr>Overview</vt:lpstr>
      <vt:lpstr>Anleitung_Instruction</vt:lpstr>
      <vt:lpstr>Process evaluation sheet</vt:lpstr>
      <vt:lpstr>risk diagram</vt:lpstr>
      <vt:lpstr>change log</vt:lpstr>
      <vt:lpstr>Amount_Processes</vt:lpstr>
      <vt:lpstr>ChooseLogo</vt:lpstr>
      <vt:lpstr>Overview!cLanguage</vt:lpstr>
      <vt:lpstr>cLanguage</vt:lpstr>
      <vt:lpstr>cProject</vt:lpstr>
      <vt:lpstr>refDateLastUpdateOn</vt:lpstr>
      <vt:lpstr>reflastupdatedon</vt:lpstr>
      <vt:lpstr>refLastUser</vt:lpstr>
    </vt:vector>
  </TitlesOfParts>
  <Company>BOSCH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Xie Chao (C/MPE)</dc:creator>
  <cp:lastModifiedBy>FIXED-TERM Widmann Nico (C/MPE)</cp:lastModifiedBy>
  <dcterms:created xsi:type="dcterms:W3CDTF">2017-11-04T22:36:01Z</dcterms:created>
  <dcterms:modified xsi:type="dcterms:W3CDTF">2017-11-10T16:24:11Z</dcterms:modified>
</cp:coreProperties>
</file>